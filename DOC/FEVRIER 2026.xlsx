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MONEY TRACK" sheetId="1" r:id="rId4"/>
    <sheet state="visible" name="MONEY" sheetId="2" r:id="rId5"/>
    <sheet state="visible" name="CALENDAR" sheetId="3" r:id="rId6"/>
    <sheet state="visible" name="Reclamation" sheetId="4" r:id="rId7"/>
    <sheet state="visible" name="HUILE" sheetId="5" r:id="rId8"/>
    <sheet state="visible" name="DEMANDE DEVIS" sheetId="6" r:id="rId9"/>
    <sheet state="visible" name="NUMERO IMPORTANT" sheetId="7" r:id="rId10"/>
    <sheet state="visible" name="MOHAMED OUTILS" sheetId="8" r:id="rId11"/>
    <sheet state="visible" name="AHMED" sheetId="9" r:id="rId12"/>
    <sheet state="visible" name="voiture en cours" sheetId="10" r:id="rId13"/>
    <sheet state="visible" name="CLIENTS AVEC DETTES" sheetId="11" r:id="rId14"/>
  </sheets>
  <definedNames/>
  <calcPr/>
  <extLst>
    <ext uri="GoogleSheetsCustomDataVersion2">
      <go:sheetsCustomData xmlns:go="http://customooxmlschemas.google.com/" r:id="rId15" roundtripDataChecksum="PoXFOLCy+PoEH0cUu7EnDfLXgPAqO+F17IrQaq9FrYo="/>
    </ext>
  </extLst>
</workbook>
</file>

<file path=xl/sharedStrings.xml><?xml version="1.0" encoding="utf-8"?>
<sst xmlns="http://schemas.openxmlformats.org/spreadsheetml/2006/main" count="1469" uniqueCount="667">
  <si>
    <t xml:space="preserve"> </t>
  </si>
  <si>
    <t>ELMECANO TEAM</t>
  </si>
  <si>
    <t>Date</t>
  </si>
  <si>
    <t>Souhail</t>
  </si>
  <si>
    <t>Khalil BK</t>
  </si>
  <si>
    <t>ZAK</t>
  </si>
  <si>
    <t>MEHER</t>
  </si>
  <si>
    <t>YASSIN</t>
  </si>
  <si>
    <t>MELEK</t>
  </si>
  <si>
    <t>YASSER</t>
  </si>
  <si>
    <t>AZIZ</t>
  </si>
  <si>
    <t>MELEK SID</t>
  </si>
  <si>
    <t>BELGACEM</t>
  </si>
  <si>
    <t>YOUSSEF</t>
  </si>
  <si>
    <t>MOHAMED HADDAD</t>
  </si>
  <si>
    <t>AHMED GHAZOUANI</t>
  </si>
  <si>
    <t>NAMROUD</t>
  </si>
  <si>
    <t>MOHAMED RADHOUENE</t>
  </si>
  <si>
    <t>MOHAMED MAHMOUDI</t>
  </si>
  <si>
    <t>MED ALI</t>
  </si>
  <si>
    <t>ADEM</t>
  </si>
  <si>
    <t>In Hand</t>
  </si>
  <si>
    <t>Taken</t>
  </si>
  <si>
    <t>Note</t>
  </si>
  <si>
    <t>DATE</t>
  </si>
  <si>
    <t>MONTANT</t>
  </si>
  <si>
    <t>RABI3/YASSINE</t>
  </si>
  <si>
    <t>NOTES</t>
  </si>
  <si>
    <t>COURS</t>
  </si>
  <si>
    <t>RABI3</t>
  </si>
  <si>
    <t>CHOKRI</t>
  </si>
  <si>
    <t>saliha</t>
  </si>
  <si>
    <t>COMPTE</t>
  </si>
  <si>
    <t>cours</t>
  </si>
  <si>
    <t>SALIHA</t>
  </si>
  <si>
    <t>y</t>
  </si>
  <si>
    <t>MOIS PRESENT</t>
  </si>
  <si>
    <t>CODE COULEURS</t>
  </si>
  <si>
    <t>SUIVI CAISSE</t>
  </si>
  <si>
    <t>Gross Revenue:</t>
  </si>
  <si>
    <t>Credit crew</t>
  </si>
  <si>
    <t>Opening</t>
  </si>
  <si>
    <t>Supplier</t>
  </si>
  <si>
    <t>Credit Clt</t>
  </si>
  <si>
    <t>CONGE</t>
  </si>
  <si>
    <t>CREW</t>
  </si>
  <si>
    <t>Tel</t>
  </si>
  <si>
    <t>CAISSE</t>
  </si>
  <si>
    <t>Total Spending:</t>
  </si>
  <si>
    <t>A TEMPS</t>
  </si>
  <si>
    <t>Rabi3</t>
  </si>
  <si>
    <t>FOND</t>
  </si>
  <si>
    <t>CLOSING</t>
  </si>
  <si>
    <t>SAVING</t>
  </si>
  <si>
    <t>Total Crew:</t>
  </si>
  <si>
    <t>crew total</t>
  </si>
  <si>
    <t>ABSENT</t>
  </si>
  <si>
    <t>Cash Flow</t>
  </si>
  <si>
    <t>RETARD</t>
  </si>
  <si>
    <t>AUTORISATION</t>
  </si>
  <si>
    <t>Yassin</t>
  </si>
  <si>
    <t>CONGE DE MALADIE</t>
  </si>
  <si>
    <t>HEURES SUPPLEMENTAIRES</t>
  </si>
  <si>
    <t>Maher</t>
  </si>
  <si>
    <t>Melek</t>
  </si>
  <si>
    <t xml:space="preserve">           </t>
  </si>
  <si>
    <t>MELEK ESSID</t>
  </si>
  <si>
    <t>Zak</t>
  </si>
  <si>
    <t>Monthly Charges</t>
  </si>
  <si>
    <t>CHARGE COMPTABLE</t>
  </si>
  <si>
    <t>Loyer Garage/
Agence</t>
  </si>
  <si>
    <t>Biat</t>
  </si>
  <si>
    <t>BTS</t>
  </si>
  <si>
    <t>Credit TANTE</t>
  </si>
  <si>
    <t>ADEM AOUIDIDI</t>
  </si>
  <si>
    <t>/</t>
  </si>
  <si>
    <t>Hamma Lbeji</t>
  </si>
  <si>
    <t>Orange</t>
  </si>
  <si>
    <t>Telecom</t>
  </si>
  <si>
    <t>declaration</t>
  </si>
  <si>
    <t>cnss</t>
  </si>
  <si>
    <t>*</t>
  </si>
  <si>
    <t>STEGE</t>
  </si>
  <si>
    <t>SONEDE</t>
  </si>
  <si>
    <t>Chokri</t>
  </si>
  <si>
    <t>comptable</t>
  </si>
  <si>
    <t xml:space="preserve">  </t>
  </si>
  <si>
    <t>-</t>
  </si>
  <si>
    <t>AHMED</t>
  </si>
  <si>
    <t>Ahmedchef123</t>
  </si>
  <si>
    <t>zack</t>
  </si>
  <si>
    <t>MONEY</t>
  </si>
  <si>
    <t>IN</t>
  </si>
  <si>
    <t>OUT</t>
  </si>
  <si>
    <t>ESPECE</t>
  </si>
  <si>
    <t>CHEQUE OU VIREMENT</t>
  </si>
  <si>
    <t>GARAGE</t>
  </si>
  <si>
    <t>PILES</t>
  </si>
  <si>
    <t>PIECES</t>
  </si>
  <si>
    <t>SEAT IBIZA</t>
  </si>
  <si>
    <t>DEPENSE VOITURE</t>
  </si>
  <si>
    <t>C3</t>
  </si>
  <si>
    <t>MECA</t>
  </si>
  <si>
    <t xml:space="preserve">GOLF </t>
  </si>
  <si>
    <t>A3</t>
  </si>
  <si>
    <t xml:space="preserve">B9 </t>
  </si>
  <si>
    <t>DIAG</t>
  </si>
  <si>
    <t>DS4</t>
  </si>
  <si>
    <t>PINCEAUX</t>
  </si>
  <si>
    <t xml:space="preserve">PASSAT </t>
  </si>
  <si>
    <t>choclata</t>
  </si>
  <si>
    <t xml:space="preserve">MAZDA </t>
  </si>
  <si>
    <t>MAZDA</t>
  </si>
  <si>
    <t>ftour</t>
  </si>
  <si>
    <t>CADDY</t>
  </si>
  <si>
    <t>FOURNISSEUR</t>
  </si>
  <si>
    <t>adem</t>
  </si>
  <si>
    <t>GOLF</t>
  </si>
  <si>
    <t>KATO</t>
  </si>
  <si>
    <t>KIA MANEL</t>
  </si>
  <si>
    <t>CHERRY</t>
  </si>
  <si>
    <t>OPEL</t>
  </si>
  <si>
    <t>SACHETS</t>
  </si>
  <si>
    <t>YARIS</t>
  </si>
  <si>
    <t>SKODA</t>
  </si>
  <si>
    <t>F A AIR</t>
  </si>
  <si>
    <t>A4</t>
  </si>
  <si>
    <t>DWE</t>
  </si>
  <si>
    <t>MERCEDES</t>
  </si>
  <si>
    <t>GRAISSE</t>
  </si>
  <si>
    <t>K9</t>
  </si>
  <si>
    <t xml:space="preserve">CADDY </t>
  </si>
  <si>
    <t>GOLF5</t>
  </si>
  <si>
    <t>DIESEL</t>
  </si>
  <si>
    <t>2EME GARAGE</t>
  </si>
  <si>
    <t xml:space="preserve">passat </t>
  </si>
  <si>
    <t>DO5AN</t>
  </si>
  <si>
    <t>golf 6</t>
  </si>
  <si>
    <t>c3 essence</t>
  </si>
  <si>
    <t>GOLF8</t>
  </si>
  <si>
    <t>FORD</t>
  </si>
  <si>
    <t>ZAKARIA</t>
  </si>
  <si>
    <t>atef</t>
  </si>
  <si>
    <t>I10</t>
  </si>
  <si>
    <t>AVENSIS</t>
  </si>
  <si>
    <t>MG</t>
  </si>
  <si>
    <t xml:space="preserve">SANGOUR </t>
  </si>
  <si>
    <t xml:space="preserve">BMW </t>
  </si>
  <si>
    <t>GOLF 6</t>
  </si>
  <si>
    <t xml:space="preserve">RABIA </t>
  </si>
  <si>
    <t xml:space="preserve">KAMYOUN </t>
  </si>
  <si>
    <t>SEAT</t>
  </si>
  <si>
    <t xml:space="preserve">AHMED </t>
  </si>
  <si>
    <t>POLO</t>
  </si>
  <si>
    <t xml:space="preserve">FORD </t>
  </si>
  <si>
    <t>carburant 508</t>
  </si>
  <si>
    <t>sadaka</t>
  </si>
  <si>
    <t>PRODUIT</t>
  </si>
  <si>
    <t xml:space="preserve">toyota </t>
  </si>
  <si>
    <t>fiat500</t>
  </si>
  <si>
    <t xml:space="preserve">fiat </t>
  </si>
  <si>
    <t>dePENSE VOITURE</t>
  </si>
  <si>
    <t xml:space="preserve">KIA </t>
  </si>
  <si>
    <t>TIGUAN</t>
  </si>
  <si>
    <t>RAMZI CWARET</t>
  </si>
  <si>
    <t xml:space="preserve">RONDELLE </t>
  </si>
  <si>
    <t>AHMED OTO ONE</t>
  </si>
  <si>
    <t>TVA ET TIMBRE</t>
  </si>
  <si>
    <t>AHMED MERCEDES</t>
  </si>
  <si>
    <t>MAHINDRA</t>
  </si>
  <si>
    <t>WANES</t>
  </si>
  <si>
    <t>ORANGE</t>
  </si>
  <si>
    <t>TELECOM</t>
  </si>
  <si>
    <t>NISSAN</t>
  </si>
  <si>
    <t>CLIO III</t>
  </si>
  <si>
    <t>GOLF6</t>
  </si>
  <si>
    <t xml:space="preserve">CARBURANT </t>
  </si>
  <si>
    <t>MONDEO</t>
  </si>
  <si>
    <t xml:space="preserve">FIAT </t>
  </si>
  <si>
    <t>CAFE RABIA</t>
  </si>
  <si>
    <t>C4</t>
  </si>
  <si>
    <t>LAVAGE</t>
  </si>
  <si>
    <t>FIAT 500</t>
  </si>
  <si>
    <t>LOTFI MULTISERVICE</t>
  </si>
  <si>
    <t xml:space="preserve">KIA RIO </t>
  </si>
  <si>
    <t>PANDA</t>
  </si>
  <si>
    <t xml:space="preserve">NISSAN </t>
  </si>
  <si>
    <t>F20</t>
  </si>
  <si>
    <t xml:space="preserve">TOYOTA </t>
  </si>
  <si>
    <t>POLO 7</t>
  </si>
  <si>
    <t xml:space="preserve">SEAT </t>
  </si>
  <si>
    <t xml:space="preserve">MERCEDES </t>
  </si>
  <si>
    <t xml:space="preserve">PATE A JOINT </t>
  </si>
  <si>
    <t>LIVREUR MREWEL STC</t>
  </si>
  <si>
    <t>9HAWI</t>
  </si>
  <si>
    <t xml:space="preserve">CHERY </t>
  </si>
  <si>
    <t>passat</t>
  </si>
  <si>
    <t>SYMBOL</t>
  </si>
  <si>
    <t>PASSAT</t>
  </si>
  <si>
    <t>PC RABI3</t>
  </si>
  <si>
    <t>QASHQAI</t>
  </si>
  <si>
    <t>AUDI</t>
  </si>
  <si>
    <t>POLO6</t>
  </si>
  <si>
    <t>MOTO RABI3</t>
  </si>
  <si>
    <t>mazda</t>
  </si>
  <si>
    <t>PNEU</t>
  </si>
  <si>
    <t xml:space="preserve">TIGUAN </t>
  </si>
  <si>
    <t>YASSINE</t>
  </si>
  <si>
    <t>AAM NOUREDDINE</t>
  </si>
  <si>
    <t>BOU7MID</t>
  </si>
  <si>
    <t>LEXUS</t>
  </si>
  <si>
    <t>ANNIF YASSIN</t>
  </si>
  <si>
    <t>MEGANE4</t>
  </si>
  <si>
    <t>ADEX</t>
  </si>
  <si>
    <t>meche</t>
  </si>
  <si>
    <t>cafe rabia</t>
  </si>
  <si>
    <t>pieces garage</t>
  </si>
  <si>
    <t>ATEF</t>
  </si>
  <si>
    <t xml:space="preserve">LOTFI </t>
  </si>
  <si>
    <t>DIAG ACHAT</t>
  </si>
  <si>
    <t>POLO5</t>
  </si>
  <si>
    <t>PAINTBALL</t>
  </si>
  <si>
    <t>passat mohamed vw</t>
  </si>
  <si>
    <t>NOUICHI YASSIN</t>
  </si>
  <si>
    <t xml:space="preserve">DWE </t>
  </si>
  <si>
    <t>AVANCE</t>
  </si>
  <si>
    <t>micra</t>
  </si>
  <si>
    <t>PROG</t>
  </si>
  <si>
    <t>X3</t>
  </si>
  <si>
    <t>KE4ET A7RECH</t>
  </si>
  <si>
    <t xml:space="preserve">lotfi </t>
  </si>
  <si>
    <t>HDMI</t>
  </si>
  <si>
    <t>ZARBEYA</t>
  </si>
  <si>
    <t>CHEVROLET</t>
  </si>
  <si>
    <t xml:space="preserve">FIZT </t>
  </si>
  <si>
    <t>megan</t>
  </si>
  <si>
    <t>MEGANE 3</t>
  </si>
  <si>
    <t>clio 3</t>
  </si>
  <si>
    <t>clio</t>
  </si>
  <si>
    <t xml:space="preserve">PANDA </t>
  </si>
  <si>
    <t>CLIO4</t>
  </si>
  <si>
    <t>MOTO  TZR 50</t>
  </si>
  <si>
    <t>FIAT500</t>
  </si>
  <si>
    <t>BENEFICE PIECES</t>
  </si>
  <si>
    <t>FORD KA</t>
  </si>
  <si>
    <t>symbol</t>
  </si>
  <si>
    <t>VITO</t>
  </si>
  <si>
    <t>GOLF 7</t>
  </si>
  <si>
    <t>LIQUI MOLYY T</t>
  </si>
  <si>
    <t>B9</t>
  </si>
  <si>
    <t>TOTAL OUT</t>
  </si>
  <si>
    <t>FOURNISSEURS</t>
  </si>
  <si>
    <t>DEPENSES VOITURE</t>
  </si>
  <si>
    <t xml:space="preserve">YASSINE </t>
  </si>
  <si>
    <t>TOTAL IN ESPECE</t>
  </si>
  <si>
    <t>OPENING</t>
  </si>
  <si>
    <t>TOTAL IN</t>
  </si>
  <si>
    <t>Pieces garage</t>
  </si>
  <si>
    <t>DIAG D'ACHAT</t>
  </si>
  <si>
    <t>LUNDI</t>
  </si>
  <si>
    <t>MARDI</t>
  </si>
  <si>
    <t>MERCREDI</t>
  </si>
  <si>
    <t>JEUDI</t>
  </si>
  <si>
    <t>VENDREDI</t>
  </si>
  <si>
    <t>SAMEDI</t>
  </si>
  <si>
    <t>DIMANCHE</t>
  </si>
  <si>
    <t>AHMED/MEGANE3/JOINT DE CULASSE/KIT CHAINE/POMPE A EAU/24200390</t>
  </si>
  <si>
    <t xml:space="preserve">SKODA/90724000/TEBA3 YASSINE/4 AMORTISSEURS </t>
  </si>
  <si>
    <t>MOHAMED/25231071/C3/2 ROTULES DIRECTION/PLAGE AVANT/VIDANGE COMPLET</t>
  </si>
  <si>
    <t>HOUSSINE/97580905/FORD/SUIVI 117 TU 1106 BOU RABEB</t>
  </si>
  <si>
    <t>NADER/26879411/QASHQAI/DIAG APPROFONDI/FUITE D'EAU/INJECTEURS/AIRBAG</t>
  </si>
  <si>
    <t>APPELER LES RENDEZ-VOUS DE LA SEMAINE</t>
  </si>
  <si>
    <t>MOHAMED ALI/52160342/SEAT IBIZA/KIT CHAINE/COURROIE/TENDEUR/VERIFICATION LAMPE PLAQUE DE POLICE/VERIFICATION BRUIT A FROID AVANCE DONNEE 500DT</t>
  </si>
  <si>
    <t>SLIM/22731726/MERCEDES /KIT CHAINE/POMPE A EAU/2SUPPORTS MOTEUR/SUPPORT BOITE/CARTER/VIDANGE COMPLET/COURROIE/LIQUIDE REF</t>
  </si>
  <si>
    <t>ANOUER/98768107/GOLF6/DEMONTAGE RENIFLARD ET TURBO</t>
  </si>
  <si>
    <t>HAMZA/99399799/MAZDA3/VERIFICATION ACTIONNEUR DE POSITION ARBRE A CAMES A/</t>
  </si>
  <si>
    <t xml:space="preserve">GHAITH/24872856/508/DIAG APPROFODNI MANQUE DE PUISSANCE/bielle suspension </t>
  </si>
  <si>
    <t>MEHER/27729027/GOLF6/DIAG APP RATEE CYLINDRE 1 ET 4</t>
  </si>
  <si>
    <t>MOHAMED ALI/C3/98705877/SUPPORT MOTEURS BAS/2 PNEUS ARRIERE/DIAG APPROFONDI DEPHASEUR/DIAG APPROFONDI CAPTEUR ADMISSION</t>
  </si>
  <si>
    <t>SAMIR/96380515/GOLF6/VERIFICATION TURBO/DIAG APPROFONDI POMPE A EAU/NETTOYAGE CIRCUIT LIQUIDE REF/VERIFICATION CONSOMMATION HUILE</t>
  </si>
  <si>
    <t>AHMED/W204/25205875/DIAG APPROFONDI CAPTEUR DIFFERENTIELLE</t>
  </si>
  <si>
    <t>FEDI/F30/55238628/INVERSEMENT ROUE/DIAG A FROID</t>
  </si>
  <si>
    <t>OUSSEMA/24126876/NEMO/2 ROULEMENTS AVANT</t>
  </si>
  <si>
    <t>MEHREZ/C4/98405598/DIAG APPROFONDI (MEHER)/CHAINE</t>
  </si>
  <si>
    <t>HOUDA/53551896/C3/TEB3A NEMRI/2 BIELLES SUSPENSION/4 SILENT BLOC TRIANGLE/2 TOC AVEC ROULEMENT AMORTISSEURS/SUPPORT BOITE INFERIEUR/VIDANGE</t>
  </si>
  <si>
    <t>GOLF6/21088435/VERIFICATION BERCEAUX/VERIFICATION TUBE EGR/2 ROTULES PIVOT</t>
  </si>
  <si>
    <t>22464786/FIAT500/DIAG APPROFONDI CABLAGE CAPTEUR MOTEUR OU CAPTEUR/VERIFICATION KILOMETRAGE</t>
  </si>
  <si>
    <t>OPEL ASTRA H/VERIFICATION CAPTEUR ABS AVG/VERIFICATION CABLAGE CAPTEUR TEMPERTURE EXTERIEUR/POMPE A EAU/JOINT CACHE SOUPAPES</t>
  </si>
  <si>
    <t>KIA/3AND DALI/VERIFICATION CONSOMMATION HUILE MOTEUR/PARAHUILE VLB/VASE D'EAU RADIATEUR/DURITE D'EAU</t>
  </si>
  <si>
    <t>OUSSEMA/29012891/VERIFICATION RATEE/VERIFICATION CAPTEUR REGIME/CLIO3</t>
  </si>
  <si>
    <t>MAHER/F20/93068593/RADIATEUR</t>
  </si>
  <si>
    <t>SEIF/52417264/SEAT IBIZA/KIT CHAINE</t>
  </si>
  <si>
    <t>SEIF/23694390/SEAT IBIZA/KIT EMBRAYAGE</t>
  </si>
  <si>
    <t>MSADAK/TIGUAN/CORPS THERMOSTAT/TOC ET ROULEMENTS AMORTISSEURS/KIT EMBRAYAGE/VIDANGE</t>
  </si>
  <si>
    <t>OUSSEMA/29012891/VERIFICATION RATEE(TEST CORPS PAPILLON/BOBINE D'ALLUMAGE/CAPTEUR PRESSION)/CLIO3/ TECHNICIEN BELGACEM</t>
  </si>
  <si>
    <t>RAOUF JARNA/MERCEDES/BRUIT MOTEUR/RATEE/ TECHNICIEN MEHER</t>
  </si>
  <si>
    <t>RAMZI/97192470/POLO 7/DIAG APP RATEE CYLINDRE 1</t>
  </si>
  <si>
    <t>RIADH/CLIO4/ENTRETIEN APRES ACHAT</t>
  </si>
  <si>
    <t>LOTFI/26018554/MAHINDRA/2 AMORTISSEURS AV/2 AMORTISSEURS ARR/2ROTULES PIVOT/KIT EMBRAYAGE/HUILE BOITE</t>
  </si>
  <si>
    <t xml:space="preserve">DACIA / AYMEN / 29055734/ DIAG APP CAPTEUR REGIM MOTEUR / VERIFICATION INJECTEUR / </t>
  </si>
  <si>
    <t>/MOHAMED/27817563/POLO6/CAPTEUR POSITION ARBRE A CAMES/DIAG APPROFNDI TEMPERATURE</t>
  </si>
  <si>
    <t>FERNAZ/54920130/SEAT/ENTRETIEN 100000KM SANS POMPE A EAU</t>
  </si>
  <si>
    <t>MOURAD/98473189/POLO/DIAG APPRFONDI CORPS PAPILLON</t>
  </si>
  <si>
    <t>SELIM/20635889/GOLF6/TARAUDAGE BOULON CARTER/NETTOYAGE CIRCUIT LIQUIDE REFROIDISSEMENT</t>
  </si>
  <si>
    <t xml:space="preserve">NISSAN / ANIS / 21350622/ REPROGAMATION FILTRE A PARTICULE +  VERIFICATION CONSOMATION ESSENCE  </t>
  </si>
  <si>
    <t>HYUNDAI /ISLEM/VERIFICTION POMPE ESSENCE /27454025</t>
  </si>
  <si>
    <t>ZEINEB/98761632/FORD/BIELLES SUS/SUPPORT MOTEUR BAS/PIPETTE THERMOSTAT/CARDAN AVG/VASE D'EAU DEVIS ENTRE 250 ET 300</t>
  </si>
  <si>
    <t>instalation super catalyser 249 tu 8189</t>
  </si>
  <si>
    <t xml:space="preserve">AUDI A6 DIWENA / DIAGNOSTIC +INSPECTION + KEN FAMA HAJA BCH TOKED </t>
  </si>
  <si>
    <t xml:space="preserve">DIAG APPROFONDIE PASSAT FUME NOIR / VIBRATION MOTEUR / KHALED / 23 810 576 </t>
  </si>
  <si>
    <t>clio3/DIAG APPROFONDI</t>
  </si>
  <si>
    <t>GOLF6/HAYTHEM / DURITE TURBO + VIDANGE /95332917</t>
  </si>
  <si>
    <t>C4/BEN ROMDHAN / TOC AMORISSEUR + ROULEME?T X2/98755654</t>
  </si>
  <si>
    <t>SIWAR / 21400548 / FIAT PANDA / PARAHUILE VOLANT MOTEUR / JOINT CACHE SOUPAPES</t>
  </si>
  <si>
    <t>3008/ YASSIN / KIT CHAINE /POMPE A EAU /NESSECAIR INJECTEUR /VIDANGE /54552284</t>
  </si>
  <si>
    <t>KIA /DIAG APP PROBLEM D'EAU /25952917/</t>
  </si>
  <si>
    <t>HBIB/26305604/VITO/REVISION MOTEUR</t>
  </si>
  <si>
    <t>AYMEN/98788244/C5/VERIFICATION POUSSOIRES/VERIFICATION ARBRE A CAMES/KIT CHAINE/CARTER</t>
  </si>
  <si>
    <t>NASREDDINE/58551289/GOLF5/DEMONTAGE TURBO POUR MPC nettoyage</t>
  </si>
  <si>
    <t xml:space="preserve">KIA / SADI KAYS /58773355/DIAG APP BSM +BOITE VISIBLE +ABS </t>
  </si>
  <si>
    <t>WASSIM/52260167/GOLF6/FUITE HUILE/FREIN A MAIN/ODEUR GASOIL/FUITE D'EAU/PARAHUILE INJECTEURS</t>
  </si>
  <si>
    <t>HAYTHEM/29519006/KIA SPORTAGE/KIT CHAINE/VIDANGE</t>
  </si>
  <si>
    <t>LAABIDI/25735357/B9/DEMONTAGE FAP POUR L'EXPERT</t>
  </si>
  <si>
    <t>ADEM / MINI / DEPHASEUR DIAG APP / 26956622</t>
  </si>
  <si>
    <t>CHOKRI/52933445/C3/VERIFICATION CHAINE/PIPETTE ARRIERE/DURITES D'EAU (LI BJNAB LCULASSE)</t>
  </si>
  <si>
    <t>ISLEM/HYUNDAI GRAND AZERA/VIDANGE BOITE CHEZ AGM/DIAG APPROFONDI RETARD DEMARRAGE</t>
  </si>
  <si>
    <t xml:space="preserve">DIAG APP / VERIFICATION CIRCUIT D'EAU / mohamed / 28 862 362 </t>
  </si>
  <si>
    <t>YOSRI/20427932/20340546/LEXUS/DIAG APPROFONDI ALTERNATEUR OU INVERTEUR</t>
  </si>
  <si>
    <t>POLO 5 58524021 ANIS DIAG APP SOUPAPES</t>
  </si>
  <si>
    <t>GOLF6/DIAG PRESSION D'HUILE</t>
  </si>
  <si>
    <t>FAKHRI/98755654/TOC AMORTISSEURS/ROULEMENTS AVANT</t>
  </si>
  <si>
    <t xml:space="preserve">207/kit chaine/ walid </t>
  </si>
  <si>
    <t>POLO6/AMINE / PIPETTE THERMOSTAT / BOUGIES</t>
  </si>
  <si>
    <t>BT50 KIT EMBRAYAGE HAYTHEM</t>
  </si>
  <si>
    <t>FIRAS/55588572/CLIO4/KIT CHAINE/POMPE A EAU</t>
  </si>
  <si>
    <t>C5/KARIM/22304040/ELECTROVANNE VANOS/ROTULE PIVOT GAUCHE HAUT/</t>
  </si>
  <si>
    <t>OMAR/TOUAREG V8/</t>
  </si>
  <si>
    <t>AUDI / MARWEN / VERIFICATION SURALUMONATION /23683922</t>
  </si>
  <si>
    <t>PASSAT /KIT CHAINE / POMPE A EAU / VERIFICATION FUITE D 'EAU + LIQUIDE REF/SOFIEN /48064917</t>
  </si>
  <si>
    <t>FORD FOCUS / DIAG APP PROHBLEM DEMARAGE /</t>
  </si>
  <si>
    <t>GOLF 7/ VERIFICATION  SAND LABDA / RAMZI / 27440702</t>
  </si>
  <si>
    <t>SANG YONG /VERIFICATION CHAINE /INSPECTION TOTAL /  AXE TURBO /RENIFLARD  / OUSSEMA / 22132863/</t>
  </si>
  <si>
    <t>BMW /PARA HUILE SOUPAPES / KIT CHAINE / TUBE Deau / verification turbo / vidange complet /mohamed /55331912</t>
  </si>
  <si>
    <t>NEJIB FEKIH/OPEL/KIT EMBRAYAGE/</t>
  </si>
  <si>
    <t>WASSEL/98635893/GOLF5/VERIFICATION TESTEUR DE FREIN</t>
  </si>
  <si>
    <t xml:space="preserve">Client / stagiere </t>
  </si>
  <si>
    <t>Probleme</t>
  </si>
  <si>
    <t>HAFEDH DRIRA</t>
  </si>
  <si>
    <t>407 BRUIT ET REVISION COMPLETE (PRESSION D'HUILE)</t>
  </si>
  <si>
    <t>A APPELER PAR RABIA</t>
  </si>
  <si>
    <t>RIADH CHELLI</t>
  </si>
  <si>
    <t>YAMAHA R6 ANNEE 2006/JOINT DE CULASSE</t>
  </si>
  <si>
    <t>A VOIR AVEC RABIA OU NAMROUD</t>
  </si>
  <si>
    <t>YASSINE BEN ROMDHANE</t>
  </si>
  <si>
    <t>AUDI A4</t>
  </si>
  <si>
    <t>144 TU 1849</t>
  </si>
  <si>
    <t>OMAR NAJJAR</t>
  </si>
  <si>
    <t>RECHERCHE D'UN TRAVAIL LE PLUTOT POSSIBLE ET SURTOUT APRES L'ACHAT DU NOUVEAU MATERIEL</t>
  </si>
  <si>
    <t>RABIA L'A PRIORITISE</t>
  </si>
  <si>
    <t>SEIFEDDINE</t>
  </si>
  <si>
    <t>BOULON CACHE BOULON/SIGLE DE ROUE</t>
  </si>
  <si>
    <t>AALA</t>
  </si>
  <si>
    <t>93246855/97883903</t>
  </si>
  <si>
    <t>ALI</t>
  </si>
  <si>
    <t>TOUAREG ACCIDENTEE</t>
  </si>
  <si>
    <t>BILEL</t>
  </si>
  <si>
    <t>DEMANDE TIRETTE KIA PICANTO</t>
  </si>
  <si>
    <t>VOIR ADEM</t>
  </si>
  <si>
    <t>LISTE DES PRIX DE HUILE</t>
  </si>
  <si>
    <t>TYPE DE HUILE</t>
  </si>
  <si>
    <t>QUANTITE</t>
  </si>
  <si>
    <t>PRIX D'ACHAT</t>
  </si>
  <si>
    <t>PRIX DE VENTE TTC</t>
  </si>
  <si>
    <t>INVENTAIRE</t>
  </si>
  <si>
    <t>CASTROL 10 W 40</t>
  </si>
  <si>
    <t>5L</t>
  </si>
  <si>
    <t>BEN JOMAA</t>
  </si>
  <si>
    <t>CASTROL 5 W 40</t>
  </si>
  <si>
    <t xml:space="preserve">CASTROL  EDGE 5 W 30 </t>
  </si>
  <si>
    <t xml:space="preserve"> CASTROL 5 W 40</t>
  </si>
  <si>
    <t>1L</t>
  </si>
  <si>
    <t xml:space="preserve">CASTROL 5 W 30 </t>
  </si>
  <si>
    <t>TOTAL 10 W40</t>
  </si>
  <si>
    <t>TOTAL 5 W 40</t>
  </si>
  <si>
    <t>CASTROL 0 W 20</t>
  </si>
  <si>
    <t>HUILE BOITE</t>
  </si>
  <si>
    <t>HUILE FREIN</t>
  </si>
  <si>
    <t xml:space="preserve">Client </t>
  </si>
  <si>
    <t>LISTE DES PRIX  MAIN D'OEUVRE</t>
  </si>
  <si>
    <t>FERNAZ</t>
  </si>
  <si>
    <t>KIT CHAINE/POMPE A EAU/LIQUIDE REF/VIDANGE/BOUGIES/COURROIE ACCESSOIRE/TENDEUR/2 ROTULES DIRECTION</t>
  </si>
  <si>
    <t xml:space="preserve">VOITURES LUX / 4*4 </t>
  </si>
  <si>
    <t xml:space="preserve">VOITURES LEGERES / UTILITAIRE </t>
  </si>
  <si>
    <t>DESIGNATION</t>
  </si>
  <si>
    <t>PRIX</t>
  </si>
  <si>
    <t>CODE COULEUR</t>
  </si>
  <si>
    <t>AMORTISSEURS ET TOC</t>
  </si>
  <si>
    <t>TRANSMISSION</t>
  </si>
  <si>
    <t>BIELLES SUSPENSION</t>
  </si>
  <si>
    <t>ENTRETIEN</t>
  </si>
  <si>
    <t>PLAQUETTES DE FREIN</t>
  </si>
  <si>
    <t>PAIR PLAQUETTES DE FREIN</t>
  </si>
  <si>
    <t>TRAIN AV ET AR</t>
  </si>
  <si>
    <t>DISQUES DE FREIN</t>
  </si>
  <si>
    <t>REPROGRAMMATION</t>
  </si>
  <si>
    <t>SIELNT BLOC</t>
  </si>
  <si>
    <t>TRIANGLES</t>
  </si>
  <si>
    <t>BRAS DE DIRECTION</t>
  </si>
  <si>
    <t xml:space="preserve">ROTULES </t>
  </si>
  <si>
    <t>ROULEMENTS</t>
  </si>
  <si>
    <t>TETE CARDAN</t>
  </si>
  <si>
    <t>EMBRAYAGE</t>
  </si>
  <si>
    <t>KIT CHAINE</t>
  </si>
  <si>
    <t>CREMAILLERE</t>
  </si>
  <si>
    <t>COURROIE</t>
  </si>
  <si>
    <t>TENDEUR</t>
  </si>
  <si>
    <t>EGR</t>
  </si>
  <si>
    <t>FAP</t>
  </si>
  <si>
    <t>ADBLUE</t>
  </si>
  <si>
    <t>CATALYSEUR</t>
  </si>
  <si>
    <t>SONDE LAMBDA</t>
  </si>
  <si>
    <t>VIDANGE + BOUGIES</t>
  </si>
  <si>
    <t>VIDANGE</t>
  </si>
  <si>
    <t>VIDANGE COMPLET</t>
  </si>
  <si>
    <t>BOBINE</t>
  </si>
  <si>
    <t>PIPETTE D'EAU</t>
  </si>
  <si>
    <t xml:space="preserve">a partir de 80 et selon type et emplacement </t>
  </si>
  <si>
    <t>PIPETTE THERMOSTAT</t>
  </si>
  <si>
    <t xml:space="preserve">PARE A HUILE </t>
  </si>
  <si>
    <t>INJECTEURS</t>
  </si>
  <si>
    <t>POMPE A EAU</t>
  </si>
  <si>
    <t>a partir 80</t>
  </si>
  <si>
    <t>POMPE A VIDE</t>
  </si>
  <si>
    <t>selon nombre des heures</t>
  </si>
  <si>
    <t>POMPE A HUILE</t>
  </si>
  <si>
    <t xml:space="preserve"> a partir 200</t>
  </si>
  <si>
    <t>JOINT DE CULASSE</t>
  </si>
  <si>
    <t xml:space="preserve">a partir 250 et selon nombres des heures </t>
  </si>
  <si>
    <t>JOINT CACHE SOUPAPE</t>
  </si>
  <si>
    <t>JOINT REFREGIRANT</t>
  </si>
  <si>
    <t>JOINT POMPE A VIDE</t>
  </si>
  <si>
    <t>JOINT FAISCEAUX INJECTEURS</t>
  </si>
  <si>
    <t>CARTER</t>
  </si>
  <si>
    <t>RADIATEUR</t>
  </si>
  <si>
    <t>PARABOU</t>
  </si>
  <si>
    <t>POULIE ALTERNATEUR</t>
  </si>
  <si>
    <t>SUPPORT MOTEUR</t>
  </si>
  <si>
    <t>DIWENA ALGERIE / SLE7/ 90681547</t>
  </si>
  <si>
    <t>SOCIETE STEM AYMEN TBOLBI REPARATION CREMALAIRE ET HYDRAULIQUE 58230610</t>
  </si>
  <si>
    <t>mourad hlimi C.GENERAL DE POLICE 24777446/98356180</t>
  </si>
  <si>
    <t>Mohamed/programation megane4/ 98261068</t>
  </si>
  <si>
    <t>Contact</t>
  </si>
  <si>
    <t>Num Tel</t>
  </si>
  <si>
    <t>MOUNIR NEWCASSE/MNIHLA/21440656/TOUS TYPES DE MOTEUR
NOM DU RESPONSABLE HAKIM/29230243</t>
  </si>
  <si>
    <t>Wed l7aj</t>
  </si>
  <si>
    <t>Pieces</t>
  </si>
  <si>
    <t>Ahmed Oto one</t>
  </si>
  <si>
    <t>Karray</t>
  </si>
  <si>
    <t>mohamed jmail fer9et ab7ath</t>
  </si>
  <si>
    <t>yheb ye5dem</t>
  </si>
  <si>
    <t>ALIANZA TRADING</t>
  </si>
  <si>
    <t>BVA</t>
  </si>
  <si>
    <t>mounir vente voiture et moteur</t>
  </si>
  <si>
    <t>21 440 656</t>
  </si>
  <si>
    <t xml:space="preserve">rahmeni sabri </t>
  </si>
  <si>
    <t>PIECE SUZUKI</t>
  </si>
  <si>
    <t>TRABELSI AUTO</t>
  </si>
  <si>
    <t>RADIATEURISTE</t>
  </si>
  <si>
    <t>Wannes</t>
  </si>
  <si>
    <t>GARGOURI</t>
  </si>
  <si>
    <t>Ahmed mercedes</t>
  </si>
  <si>
    <t>omar tastour</t>
  </si>
  <si>
    <t>Raouf Mourour</t>
  </si>
  <si>
    <t>7arass</t>
  </si>
  <si>
    <t>ZOUHAYR TIVOLI PMS</t>
  </si>
  <si>
    <t>Ridha Electricite</t>
  </si>
  <si>
    <t>Electricite</t>
  </si>
  <si>
    <t>AGENCE COCCINELLE AYMEN AMAR</t>
  </si>
  <si>
    <t>souad sima</t>
  </si>
  <si>
    <t>71 501 489</t>
  </si>
  <si>
    <t>bardo</t>
  </si>
  <si>
    <t>MARWEN PLOMBERIE</t>
  </si>
  <si>
    <t>hatem</t>
  </si>
  <si>
    <t>92 524 001</t>
  </si>
  <si>
    <t>dossier securite</t>
  </si>
  <si>
    <t xml:space="preserve">moemen electricien </t>
  </si>
  <si>
    <t>ahmed weld haj</t>
  </si>
  <si>
    <t>fournisseur vw</t>
  </si>
  <si>
    <t>MOHAMED E9LIM ARIANA</t>
  </si>
  <si>
    <t>khaled mechergui</t>
  </si>
  <si>
    <t>partenaire</t>
  </si>
  <si>
    <t>NADIA SAYARI  SFARET ALMANIA</t>
  </si>
  <si>
    <t>houcem toyota</t>
  </si>
  <si>
    <t>fournisseur toyota</t>
  </si>
  <si>
    <t>sfaret masr</t>
  </si>
  <si>
    <t>sayef maison vw</t>
  </si>
  <si>
    <t>maison vw</t>
  </si>
  <si>
    <t>SABER CHARGUI POLICE EL9A3A</t>
  </si>
  <si>
    <t>ahmed karray</t>
  </si>
  <si>
    <t>fournisseur</t>
  </si>
  <si>
    <t>mohamed ayari vente demarreur et alternateur</t>
  </si>
  <si>
    <t>bilel karray</t>
  </si>
  <si>
    <t>AMIRA E-KARHABTY PIECES DE RECHANGE ASIATIQUE</t>
  </si>
  <si>
    <t>meher pompiste</t>
  </si>
  <si>
    <t>pompiste</t>
  </si>
  <si>
    <t>mahrez stc huile represenatant commercial</t>
  </si>
  <si>
    <t>ramzi bouguerra</t>
  </si>
  <si>
    <t>casse moteur</t>
  </si>
  <si>
    <t>adnen THAMARI</t>
  </si>
  <si>
    <t>haj ridha</t>
  </si>
  <si>
    <t>casse vw</t>
  </si>
  <si>
    <t>HAMDI NJIM (IMPRESSION)</t>
  </si>
  <si>
    <t>kato</t>
  </si>
  <si>
    <t>fournisseur renault</t>
  </si>
  <si>
    <t>GROUPES DE JEUNES DEVELOPPEMENT</t>
  </si>
  <si>
    <t>jghom</t>
  </si>
  <si>
    <t>electricien</t>
  </si>
  <si>
    <t>pieces detaché (misfat) mnihla spaad (IBTISSEM)</t>
  </si>
  <si>
    <t>s,p,a,a,d tri9 chenwa pieces de rechange</t>
  </si>
  <si>
    <t>mourad radiateurist</t>
  </si>
  <si>
    <t>radiateuriste</t>
  </si>
  <si>
    <t>LOTFI/STE MULTI SERVICE AUTO</t>
  </si>
  <si>
    <t>khalil maca</t>
  </si>
  <si>
    <t>mecano</t>
  </si>
  <si>
    <t>TOYOTA AVENSIS</t>
  </si>
  <si>
    <t>ramzi ferrayeur</t>
  </si>
  <si>
    <t>ferrayeur</t>
  </si>
  <si>
    <t>URGENT</t>
  </si>
  <si>
    <t>seif 3008 accidentr</t>
  </si>
  <si>
    <t>90 114 193</t>
  </si>
  <si>
    <t>saber</t>
  </si>
  <si>
    <t>25 634 350</t>
  </si>
  <si>
    <t>pieces alger</t>
  </si>
  <si>
    <t>CADDY SDI PROBLEME CULASSE</t>
  </si>
  <si>
    <t>sayef boukraia</t>
  </si>
  <si>
    <t>stop arr gauche golf 6 led</t>
  </si>
  <si>
    <t>AYMEN WELD HAJ</t>
  </si>
  <si>
    <t>AZIZ SELMI</t>
  </si>
  <si>
    <t>MED AMIN SELMI</t>
  </si>
  <si>
    <t>rayen</t>
  </si>
  <si>
    <t>92 475 964</t>
  </si>
  <si>
    <t>tastour ariana</t>
  </si>
  <si>
    <t>AHMED WELD EL 7AJ</t>
  </si>
  <si>
    <t>28 476 854</t>
  </si>
  <si>
    <t>KHALED MECHRIGUI</t>
  </si>
  <si>
    <t>26 064 562</t>
  </si>
  <si>
    <t>HOUCEM TOYOTA</t>
  </si>
  <si>
    <t>20 821 790</t>
  </si>
  <si>
    <t>SAYED MAISON WV</t>
  </si>
  <si>
    <t>20 824 257</t>
  </si>
  <si>
    <t>AHEMD KARRAY</t>
  </si>
  <si>
    <t>51 807 685</t>
  </si>
  <si>
    <t>BILEL KARRAY</t>
  </si>
  <si>
    <t>22 277 741</t>
  </si>
  <si>
    <t>MEHER POMPISTE</t>
  </si>
  <si>
    <t>52 946 787</t>
  </si>
  <si>
    <t>RAMZI BOUGUERRA</t>
  </si>
  <si>
    <t>22 975 374</t>
  </si>
  <si>
    <t>RAMZI VW</t>
  </si>
  <si>
    <t>25 884 229</t>
  </si>
  <si>
    <t>HAJ RIDHA</t>
  </si>
  <si>
    <t>90 167 337</t>
  </si>
  <si>
    <t>98 244 518</t>
  </si>
  <si>
    <t>GADOUR KATO</t>
  </si>
  <si>
    <t>98 729 906</t>
  </si>
  <si>
    <t>JGHOM</t>
  </si>
  <si>
    <t>23 304 410</t>
  </si>
  <si>
    <t>55 889 860</t>
  </si>
  <si>
    <t>MOUDADE RADITEURT</t>
  </si>
  <si>
    <t>25 244 787</t>
  </si>
  <si>
    <t>KHALIL MECAN</t>
  </si>
  <si>
    <t>25 892 733</t>
  </si>
  <si>
    <t>RAMZI FERAYEUR</t>
  </si>
  <si>
    <t>97 993 479</t>
  </si>
  <si>
    <t>MEHDI TORKI</t>
  </si>
  <si>
    <t>58 575 800</t>
  </si>
  <si>
    <t>3AM RIDHA ELECTRICITE</t>
  </si>
  <si>
    <t>93 606 309</t>
  </si>
  <si>
    <t>montassar location voiture</t>
  </si>
  <si>
    <t>25 187 227</t>
  </si>
  <si>
    <t>issam</t>
  </si>
  <si>
    <t>96 541 344</t>
  </si>
  <si>
    <t>ALA PIECES MEGRIN</t>
  </si>
  <si>
    <t>MOEZ</t>
  </si>
  <si>
    <t>MULTIMARK</t>
  </si>
  <si>
    <t>3assli</t>
  </si>
  <si>
    <t>yssala7 cric</t>
  </si>
  <si>
    <t>AUTOZONE</t>
  </si>
  <si>
    <t>SEIF</t>
  </si>
  <si>
    <t>KIA SP</t>
  </si>
  <si>
    <t>MOHAMED</t>
  </si>
  <si>
    <t>VOITURE</t>
  </si>
  <si>
    <t>OUTILLAGE</t>
  </si>
  <si>
    <t>PRIX GARAGE</t>
  </si>
  <si>
    <t>FIAT ADEX</t>
  </si>
  <si>
    <t>ARRACHE ROTULES</t>
  </si>
  <si>
    <t>ARRACHE AMORTISSEURS</t>
  </si>
  <si>
    <t>c3</t>
  </si>
  <si>
    <t>OUTILLAGE CHAINE</t>
  </si>
  <si>
    <t xml:space="preserve">ARACHE DIRECTION </t>
  </si>
  <si>
    <t>ARACHE ROTULE</t>
  </si>
  <si>
    <t>ARACHE PLAQUETTES HYDRAULIQUE</t>
  </si>
  <si>
    <t>TEST FUITE D'EAU</t>
  </si>
  <si>
    <t>TYPE DE TRAVAUX</t>
  </si>
  <si>
    <t>PRIX AHMED</t>
  </si>
  <si>
    <t>JANVIER</t>
  </si>
  <si>
    <t>CHAINE ET SOUPAPES</t>
  </si>
  <si>
    <t>PAIEMENT</t>
  </si>
  <si>
    <t>JCS/DURITE EAU</t>
  </si>
  <si>
    <t>AUDI A6</t>
  </si>
  <si>
    <t>ALTERNATEUR</t>
  </si>
  <si>
    <t>VOITURE EN COURS</t>
  </si>
  <si>
    <t>VEHICULE:</t>
  </si>
  <si>
    <t>FORD MONDEO</t>
  </si>
  <si>
    <t>W204</t>
  </si>
  <si>
    <t>MATRICULE:</t>
  </si>
  <si>
    <t xml:space="preserve">FT-010-LA </t>
  </si>
  <si>
    <t>AVANCE:</t>
  </si>
  <si>
    <t>NOM CLIENT:</t>
  </si>
  <si>
    <t>HEJER</t>
  </si>
  <si>
    <t>SABRI</t>
  </si>
  <si>
    <t>TECHNICIEN</t>
  </si>
  <si>
    <t>TELEPHONE:</t>
  </si>
  <si>
    <t>OPERATIONS</t>
  </si>
  <si>
    <t>DESCRIPTION</t>
  </si>
  <si>
    <t>NOTE</t>
  </si>
  <si>
    <t>ROMPE INJECTION ET SUPPORT</t>
  </si>
  <si>
    <t>PARABO</t>
  </si>
  <si>
    <t>MO</t>
  </si>
  <si>
    <t xml:space="preserve">BAGUE </t>
  </si>
  <si>
    <t>AHMED ABASSI</t>
  </si>
  <si>
    <t>KEN FEL FEDERATION MTA3 L'AUTOMOBILE</t>
  </si>
  <si>
    <t>CLUB NACT</t>
  </si>
  <si>
    <t>UN AMI F AMERICA YHEB YOUSEL F1</t>
  </si>
  <si>
    <t xml:space="preserve">COLLABORATION </t>
  </si>
  <si>
    <t>AVEC MOHAMED CHAABANE</t>
  </si>
  <si>
    <t>RESTE AVANCE =</t>
  </si>
  <si>
    <t>TECHNCIEN</t>
  </si>
  <si>
    <t>INFINITY</t>
  </si>
  <si>
    <t>WAHID</t>
  </si>
  <si>
    <t>INJECTEUR</t>
  </si>
  <si>
    <t>HUILE</t>
  </si>
  <si>
    <t>RONDELLE INJECTEURS</t>
  </si>
  <si>
    <t>T-ROC</t>
  </si>
  <si>
    <t>courroie</t>
  </si>
  <si>
    <t>VEHICULE</t>
  </si>
  <si>
    <t>232 TU 6695</t>
  </si>
  <si>
    <t>244 TU 634</t>
  </si>
  <si>
    <t>IMED</t>
  </si>
  <si>
    <t xml:space="preserve">AMIR </t>
  </si>
  <si>
    <t>23195151/+4550152152</t>
  </si>
  <si>
    <t>TOURNEUR TRAIN ARRIERE</t>
  </si>
  <si>
    <t xml:space="preserve">CAPTEUR </t>
  </si>
  <si>
    <t>TOURNEUR</t>
  </si>
  <si>
    <t>PARALELISME ET CAROSSAGE</t>
  </si>
  <si>
    <t>x2</t>
  </si>
  <si>
    <t>CLIENTS AVEC DETTES</t>
  </si>
  <si>
    <t>NOM DU CLIENT</t>
  </si>
  <si>
    <t>TELEPHONE CLIENT</t>
  </si>
  <si>
    <t>RESTE</t>
  </si>
  <si>
    <t>ACHREF</t>
  </si>
  <si>
    <t>ACHREF CLA250</t>
  </si>
  <si>
    <t>ZIED</t>
  </si>
  <si>
    <t>BERLINGO</t>
  </si>
  <si>
    <t>FAWZI BOUDEN</t>
  </si>
  <si>
    <t>NISSAN JUKE</t>
  </si>
  <si>
    <t>RESTE PIECES ET MO</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</si>
</sst>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hh:mm"/>
    <numFmt numFmtId="166" formatCode="D/M/YYYY"/>
    <numFmt numFmtId="167" formatCode="mm/dd/yyyy"/>
    <numFmt numFmtId="168" formatCode="dd/mm/yyyy"/>
    <numFmt numFmtId="169" formatCode="d-m"/>
    <numFmt numFmtId="170" formatCode="d/m"/>
    <numFmt numFmtId="171" formatCode="dd/mm"/>
    <numFmt numFmtId="172" formatCode="d/m/yyyy"/>
    <numFmt numFmtId="173" formatCode="0.000"/>
    <numFmt numFmtId="174" formatCode="0.0"/>
    <numFmt numFmtId="175" formatCode="[$-40C]d\-mmm\-yy"/>
    <numFmt numFmtId="176" formatCode="dd-mm"/>
    <numFmt numFmtId="177" formatCode="dd-mm-yyyy"/>
  </numFmts>
  <fonts count="47">
    <font>
      <sz val="11.0"/>
      <color theme="1"/>
      <name val="Calibri"/>
      <scheme val="minor"/>
    </font>
    <font>
      <b/>
      <sz val="12.0"/>
      <color rgb="FF000000"/>
      <name val="Calibri"/>
    </font>
    <font>
      <b/>
      <sz val="11.0"/>
      <color rgb="FF000000"/>
      <name val="Calibri"/>
    </font>
    <font>
      <color rgb="FF000000"/>
      <name val="Calibri"/>
    </font>
    <font>
      <b/>
      <sz val="24.0"/>
      <color rgb="FF000000"/>
      <name val="Calibri"/>
    </font>
    <font/>
    <font>
      <b/>
      <sz val="11.0"/>
      <color theme="1"/>
      <name val="Calibri"/>
    </font>
    <font>
      <sz val="11.0"/>
      <color theme="1"/>
      <name val="Calibri"/>
    </font>
    <font>
      <color theme="1"/>
      <name val="Calibri"/>
    </font>
    <font>
      <b/>
      <sz val="9.0"/>
      <color rgb="FF000000"/>
      <name val="Calibri"/>
    </font>
    <font>
      <b/>
      <sz val="10.0"/>
      <color rgb="FF000000"/>
      <name val="Calibri"/>
    </font>
    <font>
      <sz val="11.0"/>
      <color rgb="FF000000"/>
      <name val="Calibri"/>
    </font>
    <font>
      <b/>
      <color rgb="FF000000"/>
      <name val="Calibri"/>
    </font>
    <font>
      <b/>
      <sz val="17.0"/>
      <color rgb="FF000000"/>
      <name val="Calibri"/>
    </font>
    <font>
      <b/>
      <sz val="17.0"/>
      <color theme="1"/>
      <name val="Calibri"/>
    </font>
    <font>
      <b/>
      <sz val="24.0"/>
      <color theme="1"/>
      <name val="Calibri"/>
    </font>
    <font>
      <b/>
      <sz val="15.0"/>
      <color theme="1"/>
      <name val="Calibri"/>
    </font>
    <font>
      <b/>
      <sz val="8.0"/>
      <color rgb="FF000000"/>
      <name val="Calibri"/>
    </font>
    <font>
      <b/>
      <sz val="19.0"/>
      <color theme="1"/>
      <name val="Calibri"/>
    </font>
    <font>
      <b/>
      <sz val="13.0"/>
      <color rgb="FF000000"/>
      <name val="Calibri"/>
    </font>
    <font>
      <b/>
      <sz val="14.0"/>
      <color rgb="FF000000"/>
      <name val="Calibri"/>
    </font>
    <font>
      <b/>
      <sz val="12.0"/>
      <color theme="1"/>
      <name val="Calibri"/>
    </font>
    <font>
      <b/>
      <sz val="15.0"/>
      <color rgb="FFFFFFFF"/>
      <name val="Calibri"/>
    </font>
    <font>
      <b/>
      <sz val="19.0"/>
      <color rgb="FFFFFFFF"/>
      <name val="Calibri"/>
    </font>
    <font>
      <b/>
      <sz val="15.0"/>
      <color rgb="FF000000"/>
      <name val="Calibri"/>
    </font>
    <font>
      <b/>
      <color theme="1"/>
      <name val="Arial"/>
    </font>
    <font>
      <b/>
      <sz val="13.0"/>
      <color rgb="FFFF0000"/>
      <name val="Calibri"/>
    </font>
    <font>
      <b/>
      <sz val="11.0"/>
      <color rgb="FFFF0000"/>
      <name val="Calibri"/>
    </font>
    <font>
      <b/>
      <sz val="25.0"/>
      <color theme="1"/>
      <name val="Calibri"/>
    </font>
    <font>
      <b/>
      <sz val="20.0"/>
      <color theme="1"/>
      <name val="Calibri"/>
    </font>
    <font>
      <b/>
      <sz val="18.0"/>
      <color theme="1"/>
      <name val="Calibri"/>
    </font>
    <font>
      <b/>
      <sz val="13.0"/>
      <color theme="1"/>
      <name val="Calibri"/>
    </font>
    <font>
      <b/>
      <sz val="15.0"/>
      <color theme="1"/>
      <name val="Arial"/>
    </font>
    <font>
      <b/>
      <sz val="14.0"/>
      <color theme="1"/>
      <name val="Calibri"/>
    </font>
    <font>
      <b/>
      <color theme="1"/>
      <name val="Calibri"/>
    </font>
    <font>
      <b/>
      <sz val="11.0"/>
      <color rgb="FF274E13"/>
      <name val="Calibri"/>
    </font>
    <font>
      <b/>
      <sz val="25.0"/>
      <color theme="1"/>
      <name val="Caveat"/>
    </font>
    <font>
      <b/>
      <sz val="50.0"/>
      <color rgb="FF351C75"/>
      <name val="Calibri"/>
    </font>
    <font>
      <sz val="15.0"/>
      <color theme="1"/>
      <name val="Calibri"/>
    </font>
    <font>
      <b/>
      <sz val="21.0"/>
      <color theme="1"/>
      <name val="Lora"/>
    </font>
    <font>
      <b/>
      <sz val="19.0"/>
      <color rgb="FF00FFFF"/>
      <name val="Calibri"/>
    </font>
    <font>
      <b/>
      <sz val="17.0"/>
      <color rgb="FFFFFFFF"/>
      <name val="Calibri"/>
    </font>
    <font>
      <b/>
      <sz val="16.0"/>
      <color theme="1"/>
      <name val="Calibri"/>
    </font>
    <font>
      <color theme="1"/>
      <name val="Calibri"/>
      <scheme val="minor"/>
    </font>
    <font>
      <b/>
      <sz val="37.0"/>
      <color theme="1"/>
      <name val="Calibri"/>
    </font>
    <font>
      <b/>
      <sz val="9.0"/>
      <color theme="1"/>
      <name val="Calibri"/>
    </font>
    <font>
      <b/>
      <sz val="22.0"/>
      <color theme="1"/>
      <name val="EB Garamond"/>
    </font>
  </fonts>
  <fills count="47">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D8D8D8"/>
        <bgColor rgb="FFD8D8D8"/>
      </patternFill>
    </fill>
    <fill>
      <patternFill patternType="solid">
        <fgColor rgb="FFA4C2F4"/>
        <bgColor rgb="FFA4C2F4"/>
      </patternFill>
    </fill>
    <fill>
      <patternFill patternType="solid">
        <fgColor rgb="FF00FF00"/>
        <bgColor rgb="FF00FF00"/>
      </patternFill>
    </fill>
    <fill>
      <patternFill patternType="solid">
        <fgColor rgb="FFEAD1DC"/>
        <bgColor rgb="FFEAD1DC"/>
      </patternFill>
    </fill>
    <fill>
      <patternFill patternType="solid">
        <fgColor rgb="FFFF0000"/>
        <bgColor rgb="FFFF0000"/>
      </patternFill>
    </fill>
    <fill>
      <patternFill patternType="solid">
        <fgColor rgb="FFD5A6BD"/>
        <bgColor rgb="FFD5A6BD"/>
      </patternFill>
    </fill>
    <fill>
      <patternFill patternType="solid">
        <fgColor rgb="FF00B0F0"/>
        <bgColor rgb="FF00B0F0"/>
      </patternFill>
    </fill>
    <fill>
      <patternFill patternType="solid">
        <fgColor rgb="FFD0E0E3"/>
        <bgColor rgb="FFD0E0E3"/>
      </patternFill>
    </fill>
    <fill>
      <patternFill patternType="solid">
        <fgColor rgb="FF92D050"/>
        <bgColor rgb="FF92D050"/>
      </patternFill>
    </fill>
    <fill>
      <patternFill patternType="solid">
        <fgColor rgb="FF6D9EEB"/>
        <bgColor rgb="FF6D9EEB"/>
      </patternFill>
    </fill>
    <fill>
      <patternFill patternType="solid">
        <fgColor rgb="FFD9EAD3"/>
        <bgColor rgb="FFD9EAD3"/>
      </patternFill>
    </fill>
    <fill>
      <patternFill patternType="solid">
        <fgColor rgb="FF93C47D"/>
        <bgColor rgb="FF93C47D"/>
      </patternFill>
    </fill>
    <fill>
      <patternFill patternType="solid">
        <fgColor rgb="FFC9DAF8"/>
        <bgColor rgb="FFC9DAF8"/>
      </patternFill>
    </fill>
    <fill>
      <patternFill patternType="solid">
        <fgColor rgb="FFCC0000"/>
        <bgColor rgb="FFCC0000"/>
      </patternFill>
    </fill>
    <fill>
      <patternFill patternType="solid">
        <fgColor rgb="FF4A86E8"/>
        <bgColor rgb="FF4A86E8"/>
      </patternFill>
    </fill>
    <fill>
      <patternFill patternType="solid">
        <fgColor rgb="FFC27BA0"/>
        <bgColor rgb="FFC27BA0"/>
      </patternFill>
    </fill>
    <fill>
      <patternFill patternType="solid">
        <fgColor rgb="FFFF00FF"/>
        <bgColor rgb="FFFF00FF"/>
      </patternFill>
    </fill>
    <fill>
      <patternFill patternType="solid">
        <fgColor rgb="FFF4CCCC"/>
        <bgColor rgb="FFF4CCCC"/>
      </patternFill>
    </fill>
    <fill>
      <patternFill patternType="solid">
        <fgColor rgb="FF00FFFF"/>
        <bgColor rgb="FF00FFFF"/>
      </patternFill>
    </fill>
    <fill>
      <patternFill patternType="solid">
        <fgColor rgb="FFB6D7A8"/>
        <bgColor rgb="FFB6D7A8"/>
      </patternFill>
    </fill>
    <fill>
      <patternFill patternType="solid">
        <fgColor rgb="FF073763"/>
        <bgColor rgb="FF073763"/>
      </patternFill>
    </fill>
    <fill>
      <patternFill patternType="solid">
        <fgColor rgb="FFD9D2E9"/>
        <bgColor rgb="FFD9D2E9"/>
      </patternFill>
    </fill>
    <fill>
      <patternFill patternType="solid">
        <fgColor rgb="FF000000"/>
        <bgColor rgb="FF000000"/>
      </patternFill>
    </fill>
    <fill>
      <patternFill patternType="solid">
        <fgColor rgb="FFFCE5CD"/>
        <bgColor rgb="FFFCE5CD"/>
      </patternFill>
    </fill>
    <fill>
      <patternFill patternType="solid">
        <fgColor rgb="FF6AA84F"/>
        <bgColor rgb="FF6AA84F"/>
      </patternFill>
    </fill>
    <fill>
      <patternFill patternType="solid">
        <fgColor rgb="FFFFF2CC"/>
        <bgColor rgb="FFFFF2CC"/>
      </patternFill>
    </fill>
    <fill>
      <patternFill patternType="solid">
        <fgColor rgb="FFB4A7D6"/>
        <bgColor rgb="FFB4A7D6"/>
      </patternFill>
    </fill>
    <fill>
      <patternFill patternType="solid">
        <fgColor rgb="FFF2DBDB"/>
        <bgColor rgb="FFF2DBDB"/>
      </patternFill>
    </fill>
    <fill>
      <patternFill patternType="solid">
        <fgColor rgb="FFFDE9D9"/>
        <bgColor rgb="FFFDE9D9"/>
      </patternFill>
    </fill>
    <fill>
      <patternFill patternType="solid">
        <fgColor rgb="FFB7B7B7"/>
        <bgColor rgb="FFB7B7B7"/>
      </patternFill>
    </fill>
    <fill>
      <patternFill patternType="solid">
        <fgColor rgb="FFCFE2F3"/>
        <bgColor rgb="FFCFE2F3"/>
      </patternFill>
    </fill>
    <fill>
      <patternFill patternType="solid">
        <fgColor rgb="FFEA9999"/>
        <bgColor rgb="FFEA9999"/>
      </patternFill>
    </fill>
    <fill>
      <patternFill patternType="solid">
        <fgColor rgb="FFBF9000"/>
        <bgColor rgb="FFBF9000"/>
      </patternFill>
    </fill>
    <fill>
      <patternFill patternType="solid">
        <fgColor rgb="FF1C4587"/>
        <bgColor rgb="FF1C4587"/>
      </patternFill>
    </fill>
    <fill>
      <patternFill patternType="solid">
        <fgColor theme="4"/>
        <bgColor theme="4"/>
      </patternFill>
    </fill>
    <fill>
      <patternFill patternType="solid">
        <fgColor theme="8"/>
        <bgColor theme="8"/>
      </patternFill>
    </fill>
    <fill>
      <patternFill patternType="solid">
        <fgColor rgb="FF45818E"/>
        <bgColor rgb="FF45818E"/>
      </patternFill>
    </fill>
    <fill>
      <patternFill patternType="solid">
        <fgColor theme="7"/>
        <bgColor theme="7"/>
      </patternFill>
    </fill>
    <fill>
      <patternFill patternType="solid">
        <fgColor rgb="FFFFFF00"/>
        <bgColor rgb="FFFFFF00"/>
      </patternFill>
    </fill>
    <fill>
      <patternFill patternType="solid">
        <fgColor rgb="FFB7E1CD"/>
        <bgColor rgb="FFB7E1CD"/>
      </patternFill>
    </fill>
    <fill>
      <patternFill patternType="solid">
        <fgColor rgb="FFA2C4C9"/>
        <bgColor rgb="FFA2C4C9"/>
      </patternFill>
    </fill>
    <fill>
      <patternFill patternType="solid">
        <fgColor rgb="FFCCCCCC"/>
        <bgColor rgb="FFCCCCCC"/>
      </patternFill>
    </fill>
  </fills>
  <borders count="101">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left style="thick">
        <color rgb="FF000000"/>
      </lef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rder>
    <border>
      <left style="thick">
        <color rgb="FF000000"/>
      </left>
      <right style="medium">
        <color rgb="FF000000"/>
      </right>
      <top style="thick">
        <color rgb="FF000000"/>
      </top>
      <bottom style="medium">
        <color rgb="FF000000"/>
      </bottom>
    </border>
    <border>
      <left style="medium">
        <color rgb="FF000000"/>
      </left>
      <right style="medium">
        <color rgb="FF000000"/>
      </right>
      <top style="thick">
        <color rgb="FF000000"/>
      </top>
      <bottom style="medium">
        <color rgb="FF000000"/>
      </bottom>
    </border>
    <border>
      <left style="medium">
        <color rgb="FF000000"/>
      </left>
      <right style="thick">
        <color rgb="FF000000"/>
      </right>
      <top style="thick">
        <color rgb="FF000000"/>
      </top>
      <bottom style="medium">
        <color rgb="FF000000"/>
      </bottom>
    </border>
    <border>
      <left style="thick">
        <color rgb="FF000000"/>
      </left>
      <right style="thin">
        <color rgb="FF000000"/>
      </right>
      <top style="thin">
        <color rgb="FF000000"/>
      </top>
      <bottom style="thin">
        <color rgb="FF000000"/>
      </bottom>
    </border>
    <border>
      <left style="thick">
        <color rgb="FF76A5AF"/>
      </left>
      <right style="thick">
        <color rgb="FF76A5AF"/>
      </right>
      <top style="thick">
        <color rgb="FF76A5AF"/>
      </top>
      <bottom style="thick">
        <color rgb="FF76A5AF"/>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ck">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top style="thin">
        <color rgb="FF000000"/>
      </top>
      <bottom style="thin">
        <color rgb="FF000000"/>
      </bottom>
    </border>
    <border>
      <left style="thick">
        <color rgb="FF000000"/>
      </left>
      <top style="thin">
        <color rgb="FF000000"/>
      </top>
      <bottom style="medium">
        <color rgb="FF000000"/>
      </bottom>
    </border>
    <border>
      <left style="thick">
        <color rgb="FF76A5AF"/>
      </left>
      <top style="thick">
        <color rgb="FF76A5AF"/>
      </top>
    </border>
    <border>
      <top style="thick">
        <color rgb="FF76A5AF"/>
      </top>
    </border>
    <border>
      <right style="thick">
        <color rgb="FF76A5AF"/>
      </right>
      <top style="thick">
        <color rgb="FF76A5AF"/>
      </top>
    </border>
    <border>
      <left style="thick">
        <color rgb="FF76A5AF"/>
      </left>
    </border>
    <border>
      <right style="thick">
        <color rgb="FF76A5AF"/>
      </right>
    </border>
    <border>
      <left style="thick">
        <color rgb="FF76A5AF"/>
      </left>
      <bottom style="thick">
        <color rgb="FF76A5AF"/>
      </bottom>
    </border>
    <border>
      <bottom style="thick">
        <color rgb="FF76A5AF"/>
      </bottom>
    </border>
    <border>
      <right style="thick">
        <color rgb="FF76A5AF"/>
      </right>
      <bottom style="thick">
        <color rgb="FF76A5AF"/>
      </bottom>
    </border>
    <border>
      <left style="thick">
        <color rgb="FF000000"/>
      </left>
      <bottom style="thick">
        <color rgb="FF000000"/>
      </bottom>
    </border>
    <border>
      <bottom style="thick">
        <color rgb="FF000000"/>
      </bottom>
    </border>
    <border>
      <left style="medium">
        <color rgb="FF000000"/>
      </left>
    </border>
    <border>
      <left style="medium">
        <color rgb="FF000000"/>
      </left>
      <right style="medium">
        <color rgb="FF000000"/>
      </right>
      <bottom style="medium">
        <color rgb="FF000000"/>
      </bottom>
    </border>
    <border>
      <bottom style="medium">
        <color rgb="FF000000"/>
      </bottom>
    </border>
    <border>
      <left style="thin">
        <color rgb="FF000000"/>
      </left>
      <right style="medium">
        <color rgb="FF000000"/>
      </right>
      <bottom style="medium">
        <color rgb="FF000000"/>
      </bottom>
    </border>
    <border>
      <left style="thin">
        <color rgb="FF000000"/>
      </left>
      <right style="thick">
        <color rgb="FF000000"/>
      </right>
    </border>
    <border>
      <left style="medium">
        <color rgb="FF000000"/>
      </left>
      <top style="medium">
        <color rgb="FF000000"/>
      </top>
    </border>
    <border>
      <top style="medium">
        <color rgb="FF000000"/>
      </top>
    </border>
    <border>
      <right style="medium">
        <color rgb="FF000000"/>
      </right>
      <top style="medium">
        <color rgb="FF000000"/>
      </top>
    </border>
    <border>
      <top style="thin">
        <color rgb="FF000000"/>
      </top>
      <bottom style="thin">
        <color rgb="FF000000"/>
      </bottom>
    </border>
    <border>
      <left style="thin">
        <color rgb="FF000000"/>
      </left>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medium">
        <color rgb="FF000000"/>
      </right>
      <top style="medium">
        <color rgb="FF000000"/>
      </top>
      <bottom style="thick">
        <color rgb="FF000000"/>
      </bottom>
    </border>
    <border>
      <left style="medium">
        <color rgb="FF000000"/>
      </left>
      <right style="medium">
        <color rgb="FF000000"/>
      </right>
      <top style="medium">
        <color rgb="FF000000"/>
      </top>
      <bottom style="thick">
        <color rgb="FF000000"/>
      </bottom>
    </border>
    <border>
      <left style="medium">
        <color rgb="FF000000"/>
      </left>
      <right style="thick">
        <color rgb="FF000000"/>
      </right>
      <top style="medium">
        <color rgb="FF000000"/>
      </top>
      <bottom style="thick">
        <color rgb="FF000000"/>
      </bottom>
    </border>
    <border>
      <left style="thin">
        <color rgb="FF000000"/>
      </left>
      <right style="thick">
        <color rgb="FF000000"/>
      </right>
      <top style="thin">
        <color rgb="FF000000"/>
      </top>
    </border>
    <border>
      <left style="thick">
        <color rgb="FF000000"/>
      </left>
      <right style="thick">
        <color rgb="FF000000"/>
      </right>
      <top style="thin">
        <color rgb="FF000000"/>
      </top>
    </border>
    <border>
      <left style="thick">
        <color rgb="FF000000"/>
      </left>
      <top style="thin">
        <color rgb="FF000000"/>
      </top>
    </border>
    <border>
      <left style="thick">
        <color rgb="FF000000"/>
      </left>
      <right style="thick">
        <color rgb="FF000000"/>
      </right>
      <bottom style="thick">
        <color rgb="FF000000"/>
      </bottom>
    </border>
    <border>
      <left style="thick">
        <color rgb="FF000000"/>
      </left>
      <right style="thick">
        <color rgb="FF000000"/>
      </right>
      <top style="thick">
        <color rgb="FF000000"/>
      </top>
    </border>
    <border>
      <left style="medium">
        <color rgb="FF000000"/>
      </left>
      <bottom style="medium">
        <color rgb="FF000000"/>
      </bottom>
    </border>
    <border>
      <left style="thin">
        <color rgb="FF000000"/>
      </left>
      <right style="thin">
        <color rgb="FF000000"/>
      </right>
    </border>
    <border>
      <left style="medium">
        <color rgb="FF000000"/>
      </left>
      <right style="medium">
        <color rgb="FF000000"/>
      </right>
      <top style="medium">
        <color rgb="FF000000"/>
      </top>
    </border>
    <border>
      <left style="thin">
        <color rgb="FF000000"/>
      </left>
      <right style="thin">
        <color rgb="FF000000"/>
      </right>
      <bottom style="thin">
        <color rgb="FF000000"/>
      </bottom>
    </border>
    <border>
      <left/>
      <right/>
      <bottom/>
    </border>
    <border>
      <lef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top/>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border>
    <border>
      <left style="thin">
        <color rgb="FFFFFFFF"/>
      </left>
      <top style="thin">
        <color rgb="FFFFFFFF"/>
      </top>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top style="thin">
        <color rgb="FFFFFFFF"/>
      </top>
    </border>
    <border>
      <top style="thin">
        <color rgb="FFFFFFFF"/>
      </top>
    </border>
    <border>
      <right style="thin">
        <color rgb="FFFFFFFF"/>
      </right>
      <top style="thin">
        <color rgb="FFFFFFFF"/>
      </top>
    </border>
    <border>
      <bottom style="thin">
        <color rgb="FFFFFFFF"/>
      </bottom>
    </border>
    <border>
      <left style="thick">
        <color rgb="FF000000"/>
      </left>
      <top style="thick">
        <color rgb="FF000000"/>
      </top>
    </border>
    <border>
      <right style="thick">
        <color rgb="FF000000"/>
      </right>
      <top style="thick">
        <color rgb="FF000000"/>
      </top>
    </border>
    <border>
      <right style="thick">
        <color rgb="FF000000"/>
      </right>
      <bottom style="thick">
        <color rgb="FF000000"/>
      </bottom>
    </border>
    <border>
      <left style="thick">
        <color rgb="FF000000"/>
      </left>
      <right style="thick">
        <color rgb="FF000000"/>
      </right>
    </border>
    <border>
      <right style="medium">
        <color rgb="FF000000"/>
      </right>
      <bottom style="medium">
        <color rgb="FF000000"/>
      </bottom>
    </border>
    <border>
      <top style="thick">
        <color rgb="FF000000"/>
      </top>
    </border>
    <border>
      <right style="thick">
        <color rgb="FF000000"/>
      </right>
    </border>
    <border>
      <left style="thick">
        <color rgb="FF000000"/>
      </left>
      <bottom style="medium">
        <color rgb="FF000000"/>
      </bottom>
    </border>
    <border>
      <right style="thick">
        <color rgb="FF000000"/>
      </right>
      <bottom style="medium">
        <color rgb="FF000000"/>
      </bottom>
    </border>
    <border>
      <left style="thick">
        <color rgb="FF000000"/>
      </left>
      <top style="medium">
        <color rgb="FF000000"/>
      </top>
      <bottom style="medium">
        <color rgb="FF000000"/>
      </bottom>
    </border>
    <border>
      <right style="thick">
        <color rgb="FF000000"/>
      </right>
      <top style="medium">
        <color rgb="FF000000"/>
      </top>
      <bottom style="medium">
        <color rgb="FF000000"/>
      </bottom>
    </border>
    <border>
      <left style="medium">
        <color rgb="FF000000"/>
      </left>
      <top style="medium">
        <color rgb="FF000000"/>
      </top>
      <bottom style="thick">
        <color rgb="FF000000"/>
      </bottom>
    </border>
    <border>
      <right style="thick">
        <color rgb="FF000000"/>
      </right>
      <top style="medium">
        <color rgb="FF000000"/>
      </top>
      <bottom style="thick">
        <color rgb="FF000000"/>
      </bottom>
    </border>
  </borders>
  <cellStyleXfs count="1">
    <xf borderId="0" fillId="0" fontId="0" numFmtId="0" applyAlignment="1" applyFont="1"/>
  </cellStyleXfs>
  <cellXfs count="481">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2" fillId="3" fontId="2" numFmtId="0" xfId="0" applyBorder="1" applyFill="1" applyFont="1"/>
    <xf borderId="0" fillId="0" fontId="3" numFmtId="0" xfId="0" applyFont="1"/>
    <xf borderId="0" fillId="2" fontId="3" numFmtId="0" xfId="0" applyFont="1"/>
    <xf borderId="0" fillId="2" fontId="2" numFmtId="0" xfId="0" applyAlignment="1" applyFont="1">
      <alignment horizontal="center"/>
    </xf>
    <xf borderId="3" fillId="2" fontId="2" numFmtId="0" xfId="0" applyBorder="1" applyFont="1"/>
    <xf borderId="4" fillId="4" fontId="4" numFmtId="0" xfId="0" applyAlignment="1" applyBorder="1" applyFill="1" applyFont="1">
      <alignment horizontal="center" vertical="center"/>
    </xf>
    <xf borderId="5" fillId="0" fontId="5" numFmtId="0" xfId="0" applyBorder="1" applyFont="1"/>
    <xf borderId="6" fillId="0" fontId="5" numFmtId="0" xfId="0" applyBorder="1" applyFont="1"/>
    <xf borderId="0" fillId="2" fontId="4" numFmtId="0" xfId="0" applyAlignment="1" applyFont="1">
      <alignment horizontal="center" vertical="center"/>
    </xf>
    <xf borderId="0" fillId="2" fontId="6" numFmtId="0" xfId="0" applyAlignment="1" applyFont="1">
      <alignment horizontal="center" vertical="bottom"/>
    </xf>
    <xf borderId="0" fillId="5" fontId="6" numFmtId="0" xfId="0" applyAlignment="1" applyFill="1" applyFont="1">
      <alignment horizontal="center" vertical="bottom"/>
    </xf>
    <xf borderId="7" fillId="0" fontId="5" numFmtId="0" xfId="0" applyBorder="1" applyFont="1"/>
    <xf borderId="8" fillId="0" fontId="5" numFmtId="0" xfId="0" applyBorder="1" applyFont="1"/>
    <xf borderId="0" fillId="2" fontId="7" numFmtId="0" xfId="0" applyAlignment="1" applyFont="1">
      <alignment vertical="bottom"/>
    </xf>
    <xf borderId="9" fillId="0" fontId="5" numFmtId="0" xfId="0" applyBorder="1" applyFont="1"/>
    <xf borderId="10" fillId="0" fontId="5" numFmtId="0" xfId="0" applyBorder="1" applyFont="1"/>
    <xf borderId="11" fillId="0" fontId="5" numFmtId="0" xfId="0" applyBorder="1" applyFont="1"/>
    <xf borderId="12" fillId="6" fontId="2" numFmtId="0" xfId="0" applyAlignment="1" applyBorder="1" applyFill="1" applyFont="1">
      <alignment horizontal="center" vertical="center"/>
    </xf>
    <xf borderId="13" fillId="0" fontId="5" numFmtId="0" xfId="0" applyBorder="1" applyFont="1"/>
    <xf borderId="14" fillId="6" fontId="2" numFmtId="0" xfId="0" applyAlignment="1" applyBorder="1" applyFont="1">
      <alignment horizontal="center" vertical="center"/>
    </xf>
    <xf borderId="15" fillId="0" fontId="5" numFmtId="0" xfId="0" applyBorder="1" applyFont="1"/>
    <xf borderId="14" fillId="6" fontId="2" numFmtId="0" xfId="0" applyAlignment="1" applyBorder="1" applyFont="1">
      <alignment horizontal="center" readingOrder="0" vertical="center"/>
    </xf>
    <xf borderId="0" fillId="2" fontId="2" numFmtId="0" xfId="0" applyAlignment="1" applyFont="1">
      <alignment horizontal="center" vertical="center"/>
    </xf>
    <xf borderId="16" fillId="0" fontId="5" numFmtId="0" xfId="0" applyBorder="1" applyFont="1"/>
    <xf borderId="17" fillId="7" fontId="2" numFmtId="0" xfId="0" applyAlignment="1" applyBorder="1" applyFill="1" applyFont="1">
      <alignment horizontal="center" vertical="center"/>
    </xf>
    <xf borderId="18" fillId="4" fontId="2" numFmtId="0" xfId="0" applyAlignment="1" applyBorder="1" applyFont="1">
      <alignment horizontal="center" vertical="center"/>
    </xf>
    <xf borderId="4" fillId="2" fontId="2" numFmtId="0" xfId="0" applyAlignment="1" applyBorder="1" applyFont="1">
      <alignment horizontal="center" vertical="center"/>
    </xf>
    <xf borderId="19" fillId="7" fontId="2" numFmtId="0" xfId="0" applyAlignment="1" applyBorder="1" applyFont="1">
      <alignment horizontal="center" vertical="center"/>
    </xf>
    <xf borderId="20" fillId="4" fontId="2" numFmtId="0" xfId="0" applyAlignment="1" applyBorder="1" applyFont="1">
      <alignment horizontal="center" vertical="center"/>
    </xf>
    <xf borderId="21" fillId="2" fontId="2" numFmtId="0" xfId="0" applyAlignment="1" applyBorder="1" applyFont="1">
      <alignment horizontal="center" vertical="center"/>
    </xf>
    <xf borderId="17" fillId="7" fontId="2" numFmtId="0" xfId="0" applyAlignment="1" applyBorder="1" applyFont="1">
      <alignment horizontal="center" readingOrder="0" vertical="center"/>
    </xf>
    <xf borderId="22" fillId="2" fontId="2" numFmtId="0" xfId="0" applyAlignment="1" applyBorder="1" applyFont="1">
      <alignment horizontal="center" vertical="center"/>
    </xf>
    <xf borderId="0" fillId="2" fontId="6" numFmtId="0" xfId="0" applyAlignment="1" applyFont="1">
      <alignment horizontal="center" vertical="center"/>
    </xf>
    <xf borderId="23" fillId="5" fontId="6" numFmtId="0" xfId="0" applyAlignment="1" applyBorder="1" applyFont="1">
      <alignment horizontal="center" vertical="center"/>
    </xf>
    <xf borderId="24" fillId="5" fontId="6" numFmtId="0" xfId="0" applyAlignment="1" applyBorder="1" applyFont="1">
      <alignment horizontal="center" vertical="center"/>
    </xf>
    <xf borderId="25" fillId="5" fontId="6" numFmtId="0" xfId="0" applyAlignment="1" applyBorder="1" applyFont="1">
      <alignment horizontal="center" vertical="center"/>
    </xf>
    <xf borderId="0" fillId="2" fontId="8" numFmtId="0" xfId="0" applyFont="1"/>
    <xf borderId="26" fillId="2" fontId="2" numFmtId="0" xfId="0" applyBorder="1" applyFont="1"/>
    <xf borderId="27" fillId="8" fontId="2" numFmtId="164" xfId="0" applyAlignment="1" applyBorder="1" applyFill="1" applyFont="1" applyNumberFormat="1">
      <alignment horizontal="center" vertical="center"/>
    </xf>
    <xf borderId="28" fillId="8" fontId="2" numFmtId="0" xfId="0" applyAlignment="1" applyBorder="1" applyFont="1">
      <alignment horizontal="center"/>
    </xf>
    <xf borderId="29" fillId="8" fontId="2" numFmtId="0" xfId="0" applyAlignment="1" applyBorder="1" applyFont="1">
      <alignment horizontal="center" readingOrder="0"/>
    </xf>
    <xf borderId="30" fillId="8" fontId="2" numFmtId="0" xfId="0" applyAlignment="1" applyBorder="1" applyFont="1">
      <alignment horizontal="center"/>
    </xf>
    <xf borderId="31" fillId="8" fontId="2" numFmtId="0" xfId="0" applyAlignment="1" applyBorder="1" applyFont="1">
      <alignment horizontal="center" readingOrder="0"/>
    </xf>
    <xf borderId="20" fillId="8" fontId="2" numFmtId="0" xfId="0" applyAlignment="1" applyBorder="1" applyFont="1">
      <alignment horizontal="center" readingOrder="0"/>
    </xf>
    <xf borderId="21" fillId="8" fontId="2" numFmtId="0" xfId="0" applyAlignment="1" applyBorder="1" applyFont="1">
      <alignment horizontal="center"/>
    </xf>
    <xf borderId="29" fillId="8" fontId="2" numFmtId="0" xfId="0" applyAlignment="1" applyBorder="1" applyFont="1">
      <alignment horizontal="center"/>
    </xf>
    <xf borderId="30" fillId="8" fontId="2" numFmtId="165" xfId="0" applyAlignment="1" applyBorder="1" applyFont="1" applyNumberFormat="1">
      <alignment horizontal="center"/>
    </xf>
    <xf borderId="31" fillId="8" fontId="2" numFmtId="0" xfId="0" applyAlignment="1" applyBorder="1" applyFont="1">
      <alignment horizontal="center"/>
    </xf>
    <xf borderId="21" fillId="8" fontId="2" numFmtId="165" xfId="0" applyAlignment="1" applyBorder="1" applyFont="1" applyNumberFormat="1">
      <alignment horizontal="center"/>
    </xf>
    <xf borderId="28" fillId="8" fontId="2" numFmtId="0" xfId="0" applyAlignment="1" applyBorder="1" applyFont="1">
      <alignment horizontal="center" readingOrder="0"/>
    </xf>
    <xf borderId="30" fillId="8" fontId="2" numFmtId="0" xfId="0" applyAlignment="1" applyBorder="1" applyFont="1">
      <alignment horizontal="center" readingOrder="0"/>
    </xf>
    <xf borderId="20" fillId="8" fontId="2" numFmtId="0" xfId="0" applyAlignment="1" applyBorder="1" applyFont="1">
      <alignment horizontal="center"/>
    </xf>
    <xf borderId="0" fillId="2" fontId="7" numFmtId="166" xfId="0" applyAlignment="1" applyFont="1" applyNumberFormat="1">
      <alignment horizontal="center" vertical="center"/>
    </xf>
    <xf borderId="32" fillId="2" fontId="6" numFmtId="166" xfId="0" applyAlignment="1" applyBorder="1" applyFont="1" applyNumberFormat="1">
      <alignment horizontal="center" readingOrder="0" vertical="center"/>
    </xf>
    <xf borderId="33" fillId="2" fontId="6" numFmtId="0" xfId="0" applyAlignment="1" applyBorder="1" applyFont="1">
      <alignment horizontal="center" readingOrder="0" vertical="center"/>
    </xf>
    <xf borderId="34" fillId="2" fontId="7" numFmtId="0" xfId="0" applyAlignment="1" applyBorder="1" applyFont="1">
      <alignment horizontal="center" vertical="center"/>
    </xf>
    <xf borderId="27" fillId="2" fontId="2" numFmtId="164" xfId="0" applyAlignment="1" applyBorder="1" applyFont="1" applyNumberFormat="1">
      <alignment horizontal="center" readingOrder="0" vertical="center"/>
    </xf>
    <xf borderId="27" fillId="2" fontId="2" numFmtId="0" xfId="0" applyAlignment="1" applyBorder="1" applyFont="1">
      <alignment horizontal="center" vertical="center"/>
    </xf>
    <xf borderId="27" fillId="2" fontId="2" numFmtId="0" xfId="0" applyBorder="1" applyFont="1"/>
    <xf borderId="27" fillId="2" fontId="2" numFmtId="0" xfId="0" applyAlignment="1" applyBorder="1" applyFont="1">
      <alignment horizontal="center" shrinkToFit="0" vertical="center" wrapText="1"/>
    </xf>
    <xf borderId="27" fillId="2" fontId="2" numFmtId="165" xfId="0" applyAlignment="1" applyBorder="1" applyFont="1" applyNumberFormat="1">
      <alignment horizontal="center" vertical="center"/>
    </xf>
    <xf borderId="27" fillId="2" fontId="2" numFmtId="0" xfId="0" applyAlignment="1" applyBorder="1" applyFont="1">
      <alignment horizontal="center" readingOrder="0" vertical="center"/>
    </xf>
    <xf borderId="27" fillId="2" fontId="2" numFmtId="0" xfId="0" applyAlignment="1" applyBorder="1" applyFont="1">
      <alignment horizontal="center"/>
    </xf>
    <xf borderId="27" fillId="2" fontId="2" numFmtId="167" xfId="0" applyBorder="1" applyFont="1" applyNumberFormat="1"/>
    <xf borderId="34" fillId="2" fontId="7" numFmtId="0" xfId="0" applyAlignment="1" applyBorder="1" applyFont="1">
      <alignment horizontal="center" readingOrder="0" vertical="center"/>
    </xf>
    <xf borderId="27" fillId="2" fontId="2" numFmtId="167" xfId="0" applyAlignment="1" applyBorder="1" applyFont="1" applyNumberFormat="1">
      <alignment horizontal="center"/>
    </xf>
    <xf borderId="27" fillId="2" fontId="2" numFmtId="0" xfId="0" applyAlignment="1" applyBorder="1" applyFont="1">
      <alignment horizontal="center" readingOrder="0"/>
    </xf>
    <xf borderId="4" fillId="2" fontId="2" numFmtId="164" xfId="0" applyAlignment="1" applyBorder="1" applyFont="1" applyNumberFormat="1">
      <alignment horizontal="center" readingOrder="0" vertical="center"/>
    </xf>
    <xf borderId="35" fillId="2" fontId="2" numFmtId="0" xfId="0" applyBorder="1" applyFont="1"/>
    <xf borderId="27" fillId="2" fontId="9" numFmtId="0" xfId="0" applyAlignment="1" applyBorder="1" applyFont="1">
      <alignment horizontal="center" shrinkToFit="0" vertical="center" wrapText="0"/>
    </xf>
    <xf borderId="27" fillId="9" fontId="2" numFmtId="0" xfId="0" applyAlignment="1" applyBorder="1" applyFill="1" applyFont="1">
      <alignment horizontal="center" readingOrder="0" vertical="center"/>
    </xf>
    <xf borderId="27" fillId="2" fontId="9" numFmtId="0" xfId="0" applyAlignment="1" applyBorder="1" applyFont="1">
      <alignment horizontal="center" vertical="center"/>
    </xf>
    <xf borderId="0" fillId="2" fontId="7" numFmtId="168" xfId="0" applyAlignment="1" applyFont="1" applyNumberFormat="1">
      <alignment horizontal="center" vertical="center"/>
    </xf>
    <xf borderId="32" fillId="2" fontId="6" numFmtId="168" xfId="0" applyAlignment="1" applyBorder="1" applyFont="1" applyNumberFormat="1">
      <alignment horizontal="center" readingOrder="0" vertical="center"/>
    </xf>
    <xf borderId="0" fillId="2" fontId="7" numFmtId="169" xfId="0" applyAlignment="1" applyFont="1" applyNumberFormat="1">
      <alignment horizontal="center" vertical="center"/>
    </xf>
    <xf borderId="32" fillId="2" fontId="6" numFmtId="168" xfId="0" applyAlignment="1" applyBorder="1" applyFont="1" applyNumberFormat="1">
      <alignment horizontal="center" vertical="center"/>
    </xf>
    <xf borderId="27" fillId="10" fontId="2" numFmtId="167" xfId="0" applyAlignment="1" applyBorder="1" applyFill="1" applyFont="1" applyNumberFormat="1">
      <alignment horizontal="center"/>
    </xf>
    <xf borderId="27" fillId="10" fontId="2" numFmtId="0" xfId="0" applyAlignment="1" applyBorder="1" applyFont="1">
      <alignment horizontal="center"/>
    </xf>
    <xf borderId="27" fillId="10" fontId="2" numFmtId="167" xfId="0" applyBorder="1" applyFont="1" applyNumberFormat="1"/>
    <xf borderId="27" fillId="10" fontId="2" numFmtId="0" xfId="0" applyBorder="1" applyFont="1"/>
    <xf borderId="27" fillId="10" fontId="2" numFmtId="0" xfId="0" applyAlignment="1" applyBorder="1" applyFont="1">
      <alignment horizontal="center" vertical="center"/>
    </xf>
    <xf borderId="27" fillId="10" fontId="2" numFmtId="0" xfId="0" applyAlignment="1" applyBorder="1" applyFont="1">
      <alignment horizontal="center" readingOrder="0" vertical="center"/>
    </xf>
    <xf borderId="27" fillId="2" fontId="10" numFmtId="0" xfId="0" applyAlignment="1" applyBorder="1" applyFont="1">
      <alignment horizontal="center" shrinkToFit="0" vertical="center" wrapText="0"/>
    </xf>
    <xf borderId="0" fillId="2" fontId="2" numFmtId="167" xfId="0" applyFont="1" applyNumberFormat="1"/>
    <xf borderId="27" fillId="2" fontId="2" numFmtId="20" xfId="0" applyAlignment="1" applyBorder="1" applyFont="1" applyNumberFormat="1">
      <alignment horizontal="center" vertical="center"/>
    </xf>
    <xf borderId="27" fillId="2" fontId="8" numFmtId="0" xfId="0" applyAlignment="1" applyBorder="1" applyFont="1">
      <alignment horizontal="center"/>
    </xf>
    <xf borderId="0" fillId="2" fontId="2" numFmtId="167" xfId="0" applyAlignment="1" applyFont="1" applyNumberFormat="1">
      <alignment horizontal="center" vertical="center"/>
    </xf>
    <xf borderId="33" fillId="2" fontId="2" numFmtId="0" xfId="0" applyAlignment="1" applyBorder="1" applyFont="1">
      <alignment horizontal="center" readingOrder="0" vertical="center"/>
    </xf>
    <xf borderId="27" fillId="2" fontId="8" numFmtId="0" xfId="0" applyBorder="1" applyFont="1"/>
    <xf borderId="27" fillId="2" fontId="11" numFmtId="0" xfId="0" applyAlignment="1" applyBorder="1" applyFont="1">
      <alignment horizontal="center" vertical="center"/>
    </xf>
    <xf borderId="33" fillId="2" fontId="6" numFmtId="0" xfId="0" applyAlignment="1" applyBorder="1" applyFont="1">
      <alignment horizontal="center" vertical="center"/>
    </xf>
    <xf borderId="0" fillId="2" fontId="7" numFmtId="170" xfId="0" applyAlignment="1" applyFont="1" applyNumberFormat="1">
      <alignment horizontal="center" vertical="center"/>
    </xf>
    <xf borderId="0" fillId="2" fontId="7" numFmtId="0" xfId="0" applyAlignment="1" applyFont="1">
      <alignment horizontal="center" vertical="center"/>
    </xf>
    <xf borderId="0" fillId="0" fontId="8" numFmtId="0" xfId="0" applyFont="1"/>
    <xf borderId="27" fillId="2" fontId="10" numFmtId="0" xfId="0" applyAlignment="1" applyBorder="1" applyFont="1">
      <alignment horizontal="center" vertical="center"/>
    </xf>
    <xf borderId="27" fillId="2" fontId="8" numFmtId="0" xfId="0" applyAlignment="1" applyBorder="1" applyFont="1">
      <alignment horizontal="center" vertical="center"/>
    </xf>
    <xf borderId="32" fillId="2" fontId="7" numFmtId="171" xfId="0" applyAlignment="1" applyBorder="1" applyFont="1" applyNumberFormat="1">
      <alignment horizontal="center" vertical="center"/>
    </xf>
    <xf borderId="34" fillId="2" fontId="6" numFmtId="0" xfId="0" applyAlignment="1" applyBorder="1" applyFont="1">
      <alignment horizontal="center" vertical="center"/>
    </xf>
    <xf borderId="32" fillId="2" fontId="7" numFmtId="0" xfId="0" applyAlignment="1" applyBorder="1" applyFont="1">
      <alignment horizontal="center" vertical="center"/>
    </xf>
    <xf borderId="32" fillId="2" fontId="7" numFmtId="168" xfId="0" applyAlignment="1" applyBorder="1" applyFont="1" applyNumberFormat="1">
      <alignment horizontal="center" vertical="center"/>
    </xf>
    <xf borderId="0" fillId="2" fontId="7" numFmtId="171" xfId="0" applyAlignment="1" applyFont="1" applyNumberFormat="1">
      <alignment horizontal="center" vertical="center"/>
    </xf>
    <xf borderId="3" fillId="2" fontId="11" numFmtId="0" xfId="0" applyBorder="1" applyFont="1"/>
    <xf borderId="35" fillId="2" fontId="11" numFmtId="0" xfId="0" applyBorder="1" applyFont="1"/>
    <xf borderId="0" fillId="2" fontId="8" numFmtId="0" xfId="0" applyAlignment="1" applyFont="1">
      <alignment horizontal="center"/>
    </xf>
    <xf borderId="0" fillId="2" fontId="7" numFmtId="172" xfId="0" applyAlignment="1" applyFont="1" applyNumberFormat="1">
      <alignment horizontal="center" vertical="center"/>
    </xf>
    <xf borderId="0" fillId="2" fontId="8" numFmtId="0" xfId="0" applyAlignment="1" applyFont="1">
      <alignment horizontal="center" vertical="center"/>
    </xf>
    <xf borderId="34" fillId="2" fontId="7" numFmtId="0" xfId="0" applyAlignment="1" applyBorder="1" applyFont="1">
      <alignment horizontal="center" shrinkToFit="0" vertical="center" wrapText="1"/>
    </xf>
    <xf borderId="36" fillId="2" fontId="2" numFmtId="172" xfId="0" applyAlignment="1" applyBorder="1" applyFont="1" applyNumberFormat="1">
      <alignment horizontal="center"/>
    </xf>
    <xf borderId="37" fillId="2" fontId="2" numFmtId="164" xfId="0" applyAlignment="1" applyBorder="1" applyFont="1" applyNumberFormat="1">
      <alignment horizontal="center" vertical="center"/>
    </xf>
    <xf borderId="38" fillId="0" fontId="5" numFmtId="0" xfId="0" applyBorder="1" applyFont="1"/>
    <xf borderId="39" fillId="0" fontId="5" numFmtId="0" xfId="0" applyBorder="1" applyFont="1"/>
    <xf borderId="12" fillId="2" fontId="2" numFmtId="172" xfId="0" applyAlignment="1" applyBorder="1" applyFont="1" applyNumberFormat="1">
      <alignment horizontal="center"/>
    </xf>
    <xf borderId="40" fillId="0" fontId="5" numFmtId="0" xfId="0" applyBorder="1" applyFont="1"/>
    <xf borderId="41" fillId="0" fontId="5" numFmtId="0" xfId="0" applyBorder="1" applyFont="1"/>
    <xf borderId="42" fillId="0" fontId="5" numFmtId="0" xfId="0" applyBorder="1" applyFont="1"/>
    <xf borderId="43" fillId="0" fontId="5" numFmtId="0" xfId="0" applyBorder="1" applyFont="1"/>
    <xf borderId="44" fillId="0" fontId="5" numFmtId="0" xfId="0" applyBorder="1" applyFont="1"/>
    <xf borderId="45" fillId="0" fontId="2" numFmtId="0" xfId="0" applyBorder="1" applyFont="1"/>
    <xf borderId="46" fillId="0" fontId="2" numFmtId="0" xfId="0" applyBorder="1" applyFont="1"/>
    <xf borderId="47" fillId="0" fontId="2" numFmtId="0" xfId="0" applyAlignment="1" applyBorder="1" applyFont="1">
      <alignment horizontal="center"/>
    </xf>
    <xf borderId="0" fillId="0" fontId="2" numFmtId="0" xfId="0" applyAlignment="1" applyFont="1">
      <alignment horizontal="center"/>
    </xf>
    <xf borderId="48" fillId="11" fontId="2" numFmtId="0" xfId="0" applyAlignment="1" applyBorder="1" applyFill="1" applyFont="1">
      <alignment horizontal="center"/>
    </xf>
    <xf borderId="49" fillId="0" fontId="2" numFmtId="0" xfId="0" applyAlignment="1" applyBorder="1" applyFont="1">
      <alignment horizontal="center"/>
    </xf>
    <xf borderId="50" fillId="11" fontId="2" numFmtId="0" xfId="0" applyAlignment="1" applyBorder="1" applyFont="1">
      <alignment horizontal="center"/>
    </xf>
    <xf borderId="51" fillId="11" fontId="2" numFmtId="0" xfId="0" applyAlignment="1" applyBorder="1" applyFont="1">
      <alignment horizontal="center"/>
    </xf>
    <xf borderId="20" fillId="11" fontId="2" numFmtId="0" xfId="0" applyAlignment="1" applyBorder="1" applyFont="1">
      <alignment horizontal="center"/>
    </xf>
    <xf borderId="50" fillId="9" fontId="2" numFmtId="0" xfId="0" applyAlignment="1" applyBorder="1" applyFont="1">
      <alignment horizontal="center"/>
    </xf>
    <xf borderId="33" fillId="2" fontId="7" numFmtId="0" xfId="0" applyAlignment="1" applyBorder="1" applyFont="1">
      <alignment horizontal="center" vertical="center"/>
    </xf>
    <xf borderId="0" fillId="0" fontId="7" numFmtId="0" xfId="0" applyAlignment="1" applyFont="1">
      <alignment vertical="bottom"/>
    </xf>
    <xf borderId="1" fillId="2" fontId="2" numFmtId="0" xfId="0" applyBorder="1" applyFont="1"/>
    <xf borderId="20" fillId="0" fontId="2" numFmtId="0" xfId="0" applyBorder="1" applyFont="1"/>
    <xf borderId="20" fillId="0" fontId="2" numFmtId="0" xfId="0" applyAlignment="1" applyBorder="1" applyFont="1">
      <alignment horizontal="center"/>
    </xf>
    <xf borderId="5" fillId="2" fontId="2" numFmtId="0" xfId="0" applyBorder="1" applyFont="1"/>
    <xf borderId="0" fillId="2" fontId="2" numFmtId="0" xfId="0" applyFont="1"/>
    <xf borderId="0" fillId="2" fontId="12" numFmtId="0" xfId="0" applyFont="1"/>
    <xf borderId="10" fillId="2" fontId="2" numFmtId="0" xfId="0" applyBorder="1" applyFont="1"/>
    <xf borderId="0" fillId="2" fontId="2" numFmtId="0" xfId="0" applyAlignment="1" applyFont="1">
      <alignment shrinkToFit="0" vertical="center" wrapText="1"/>
    </xf>
    <xf borderId="52" fillId="0" fontId="2" numFmtId="0" xfId="0" applyBorder="1" applyFont="1"/>
    <xf borderId="53" fillId="0" fontId="2" numFmtId="0" xfId="0" applyBorder="1" applyFont="1"/>
    <xf borderId="47" fillId="0" fontId="2" numFmtId="0" xfId="0" applyBorder="1" applyFont="1"/>
    <xf borderId="52" fillId="0" fontId="13" numFmtId="0" xfId="0" applyAlignment="1" applyBorder="1" applyFont="1">
      <alignment horizontal="center" vertical="top"/>
    </xf>
    <xf borderId="54" fillId="0" fontId="5" numFmtId="0" xfId="0" applyBorder="1" applyFont="1"/>
    <xf borderId="21" fillId="12" fontId="14" numFmtId="0" xfId="0" applyAlignment="1" applyBorder="1" applyFill="1" applyFont="1">
      <alignment horizontal="center" vertical="center"/>
    </xf>
    <xf borderId="55" fillId="0" fontId="5" numFmtId="0" xfId="0" applyBorder="1" applyFont="1"/>
    <xf borderId="31" fillId="0" fontId="5" numFmtId="0" xfId="0" applyBorder="1" applyFont="1"/>
    <xf borderId="0" fillId="2" fontId="15" numFmtId="0" xfId="0" applyAlignment="1" applyFont="1">
      <alignment horizontal="center" shrinkToFit="0" vertical="center" wrapText="1"/>
    </xf>
    <xf borderId="0" fillId="2" fontId="16" numFmtId="0" xfId="0" applyAlignment="1" applyFont="1">
      <alignment horizontal="center" shrinkToFit="0" vertical="center" wrapText="1"/>
    </xf>
    <xf borderId="56" fillId="13" fontId="2" numFmtId="173" xfId="0" applyBorder="1" applyFill="1" applyFont="1" applyNumberFormat="1"/>
    <xf borderId="18" fillId="0" fontId="2" numFmtId="0" xfId="0" applyBorder="1" applyFont="1"/>
    <xf borderId="57" fillId="14" fontId="2" numFmtId="0" xfId="0" applyBorder="1" applyFill="1" applyFont="1"/>
    <xf borderId="57" fillId="0" fontId="17" numFmtId="0" xfId="0" applyAlignment="1" applyBorder="1" applyFont="1">
      <alignment horizontal="center" vertical="center"/>
    </xf>
    <xf borderId="18" fillId="5" fontId="2" numFmtId="0" xfId="0" applyAlignment="1" applyBorder="1" applyFont="1">
      <alignment horizontal="center" vertical="center"/>
    </xf>
    <xf borderId="21" fillId="15" fontId="18" numFmtId="0" xfId="0" applyAlignment="1" applyBorder="1" applyFill="1" applyFont="1">
      <alignment horizontal="center" vertical="center"/>
    </xf>
    <xf borderId="58" fillId="2" fontId="7" numFmtId="0" xfId="0" applyAlignment="1" applyBorder="1" applyFont="1">
      <alignment horizontal="center" vertical="center"/>
    </xf>
    <xf borderId="59" fillId="2" fontId="7" numFmtId="0" xfId="0" applyAlignment="1" applyBorder="1" applyFont="1">
      <alignment horizontal="center" vertical="center"/>
    </xf>
    <xf borderId="60" fillId="0" fontId="7" numFmtId="0" xfId="0" applyAlignment="1" applyBorder="1" applyFont="1">
      <alignment horizontal="center" vertical="center"/>
    </xf>
    <xf borderId="21" fillId="9" fontId="2" numFmtId="1" xfId="0" applyBorder="1" applyFont="1" applyNumberFormat="1"/>
    <xf borderId="31" fillId="0" fontId="2" numFmtId="0" xfId="0" applyBorder="1" applyFont="1"/>
    <xf borderId="57" fillId="16" fontId="2" numFmtId="0" xfId="0" applyBorder="1" applyFill="1" applyFont="1"/>
    <xf borderId="33" fillId="0" fontId="19" numFmtId="0" xfId="0" applyAlignment="1" applyBorder="1" applyFont="1">
      <alignment horizontal="center" vertical="center"/>
    </xf>
    <xf borderId="61" fillId="17" fontId="16" numFmtId="0" xfId="0" applyAlignment="1" applyBorder="1" applyFill="1" applyFont="1">
      <alignment horizontal="center" shrinkToFit="0" wrapText="1"/>
    </xf>
    <xf borderId="62" fillId="17" fontId="16" numFmtId="0" xfId="0" applyAlignment="1" applyBorder="1" applyFont="1">
      <alignment horizontal="center" shrinkToFit="0" vertical="center" wrapText="1"/>
    </xf>
    <xf borderId="63" fillId="17" fontId="16" numFmtId="0" xfId="0" applyAlignment="1" applyBorder="1" applyFont="1">
      <alignment horizontal="center" shrinkToFit="0" vertical="center" wrapText="1"/>
    </xf>
    <xf borderId="64" fillId="17" fontId="16" numFmtId="0" xfId="0" applyAlignment="1" applyBorder="1" applyFont="1">
      <alignment horizontal="center" shrinkToFit="0" vertical="center" wrapText="1"/>
    </xf>
    <xf borderId="20" fillId="0" fontId="2" numFmtId="173" xfId="0" applyBorder="1" applyFont="1" applyNumberFormat="1"/>
    <xf borderId="57" fillId="18" fontId="2" numFmtId="0" xfId="0" applyBorder="1" applyFill="1" applyFont="1"/>
    <xf borderId="33" fillId="0" fontId="20" numFmtId="0" xfId="0" applyAlignment="1" applyBorder="1" applyFont="1">
      <alignment horizontal="center" vertical="center"/>
    </xf>
    <xf borderId="57" fillId="0" fontId="21" numFmtId="168" xfId="0" applyAlignment="1" applyBorder="1" applyFont="1" applyNumberFormat="1">
      <alignment horizontal="center" shrinkToFit="0" wrapText="1"/>
    </xf>
    <xf borderId="57" fillId="2" fontId="21" numFmtId="0" xfId="0" applyAlignment="1" applyBorder="1" applyFont="1">
      <alignment horizontal="center" shrinkToFit="0" vertical="center" wrapText="1"/>
    </xf>
    <xf borderId="57" fillId="19" fontId="16" numFmtId="0" xfId="0" applyAlignment="1" applyBorder="1" applyFill="1" applyFont="1">
      <alignment horizontal="center" shrinkToFit="0" vertical="center" wrapText="1"/>
    </xf>
    <xf borderId="0" fillId="2" fontId="21" numFmtId="168" xfId="0" applyAlignment="1" applyFont="1" applyNumberFormat="1">
      <alignment horizontal="center" shrinkToFit="0" vertical="center" wrapText="1"/>
    </xf>
    <xf borderId="0" fillId="2" fontId="21" numFmtId="0" xfId="0" applyAlignment="1" applyFont="1">
      <alignment horizontal="center" shrinkToFit="0" vertical="center" wrapText="1"/>
    </xf>
    <xf borderId="0" fillId="2" fontId="22" numFmtId="0" xfId="0" applyAlignment="1" applyFont="1">
      <alignment horizontal="center" shrinkToFit="0" vertical="center" wrapText="1"/>
    </xf>
    <xf borderId="0" fillId="2" fontId="23" numFmtId="0" xfId="0" applyAlignment="1" applyFont="1">
      <alignment horizontal="center" vertical="center"/>
    </xf>
    <xf borderId="0" fillId="2" fontId="16" numFmtId="0" xfId="0" applyAlignment="1" applyFont="1">
      <alignment horizontal="center" vertical="center"/>
    </xf>
    <xf borderId="20" fillId="11" fontId="2" numFmtId="174" xfId="0" applyBorder="1" applyFont="1" applyNumberFormat="1"/>
    <xf borderId="57" fillId="4" fontId="2" numFmtId="0" xfId="0" applyBorder="1" applyFont="1"/>
    <xf borderId="65" fillId="20" fontId="2" numFmtId="0" xfId="0" applyAlignment="1" applyBorder="1" applyFill="1" applyFont="1">
      <alignment horizontal="center" vertical="center"/>
    </xf>
    <xf borderId="65" fillId="0" fontId="17" numFmtId="0" xfId="0" applyAlignment="1" applyBorder="1" applyFont="1">
      <alignment horizontal="center" vertical="center"/>
    </xf>
    <xf borderId="0" fillId="0" fontId="2" numFmtId="0" xfId="0" applyAlignment="1" applyFont="1">
      <alignment readingOrder="0"/>
    </xf>
    <xf borderId="57" fillId="21" fontId="2" numFmtId="0" xfId="0" applyBorder="1" applyFill="1" applyFont="1"/>
    <xf borderId="57" fillId="0" fontId="17" numFmtId="0" xfId="0" applyAlignment="1" applyBorder="1" applyFont="1">
      <alignment horizontal="center" shrinkToFit="0" vertical="center" wrapText="1"/>
    </xf>
    <xf borderId="33" fillId="0" fontId="19" numFmtId="0" xfId="0" applyAlignment="1" applyBorder="1" applyFont="1">
      <alignment horizontal="center" shrinkToFit="0" vertical="center" wrapText="1"/>
    </xf>
    <xf borderId="57" fillId="22" fontId="21" numFmtId="0" xfId="0" applyAlignment="1" applyBorder="1" applyFill="1" applyFont="1">
      <alignment horizontal="center" shrinkToFit="0" vertical="center" wrapText="1"/>
    </xf>
    <xf borderId="0" fillId="2" fontId="24" numFmtId="0" xfId="0" applyAlignment="1" applyFont="1">
      <alignment horizontal="center" shrinkToFit="0" vertical="center" wrapText="1"/>
    </xf>
    <xf borderId="57" fillId="23" fontId="2" numFmtId="0" xfId="0" applyBorder="1" applyFill="1" applyFont="1"/>
    <xf borderId="66" fillId="0" fontId="2" numFmtId="0" xfId="0" applyBorder="1" applyFont="1"/>
    <xf borderId="49" fillId="0" fontId="2" numFmtId="0" xfId="0" applyBorder="1" applyFont="1"/>
    <xf borderId="0" fillId="2" fontId="21" numFmtId="170" xfId="0" applyAlignment="1" applyFont="1" applyNumberFormat="1">
      <alignment horizontal="center" shrinkToFit="0" vertical="center" wrapText="1"/>
    </xf>
    <xf borderId="21" fillId="0" fontId="25" numFmtId="0" xfId="0" applyAlignment="1" applyBorder="1" applyFont="1">
      <alignment horizontal="center" vertical="center"/>
    </xf>
    <xf borderId="57" fillId="8" fontId="21" numFmtId="0" xfId="0" applyAlignment="1" applyBorder="1" applyFont="1">
      <alignment horizontal="center" shrinkToFit="0" vertical="center" wrapText="1"/>
    </xf>
    <xf borderId="18" fillId="0" fontId="25" numFmtId="0" xfId="0" applyAlignment="1" applyBorder="1" applyFont="1">
      <alignment vertical="top"/>
    </xf>
    <xf borderId="8" fillId="24" fontId="25" numFmtId="0" xfId="0" applyAlignment="1" applyBorder="1" applyFill="1" applyFont="1">
      <alignment horizontal="right" vertical="top"/>
    </xf>
    <xf borderId="67" fillId="2" fontId="25" numFmtId="0" xfId="0" applyBorder="1" applyFont="1"/>
    <xf borderId="8" fillId="7" fontId="25" numFmtId="0" xfId="0" applyAlignment="1" applyBorder="1" applyFont="1">
      <alignment horizontal="right"/>
    </xf>
    <xf borderId="0" fillId="0" fontId="2" numFmtId="171" xfId="0" applyFont="1" applyNumberFormat="1"/>
    <xf borderId="8" fillId="22" fontId="25" numFmtId="0" xfId="0" applyAlignment="1" applyBorder="1" applyFont="1">
      <alignment horizontal="right"/>
    </xf>
    <xf borderId="68" fillId="0" fontId="19" numFmtId="0" xfId="0" applyAlignment="1" applyBorder="1" applyFont="1">
      <alignment horizontal="center" vertical="center"/>
    </xf>
    <xf borderId="57" fillId="2" fontId="21" numFmtId="0" xfId="0" applyAlignment="1" applyBorder="1" applyFont="1">
      <alignment horizontal="center" readingOrder="0" shrinkToFit="0" vertical="center" wrapText="1"/>
    </xf>
    <xf borderId="8" fillId="2" fontId="25" numFmtId="0" xfId="0" applyAlignment="1" applyBorder="1" applyFont="1">
      <alignment horizontal="right"/>
    </xf>
    <xf borderId="33" fillId="0" fontId="1" numFmtId="0" xfId="0" applyAlignment="1" applyBorder="1" applyFont="1">
      <alignment horizontal="center" readingOrder="0" shrinkToFit="0" vertical="center" wrapText="1"/>
    </xf>
    <xf borderId="33" fillId="0" fontId="19" numFmtId="0" xfId="0" applyAlignment="1" applyBorder="1" applyFont="1">
      <alignment horizontal="center" readingOrder="0" vertical="center"/>
    </xf>
    <xf borderId="67" fillId="0" fontId="25" numFmtId="0" xfId="0" applyBorder="1" applyFont="1"/>
    <xf borderId="1" fillId="2" fontId="11" numFmtId="0" xfId="0" applyBorder="1" applyFont="1"/>
    <xf borderId="0" fillId="0" fontId="11" numFmtId="0" xfId="0" applyFont="1"/>
    <xf borderId="0" fillId="2" fontId="21" numFmtId="171" xfId="0" applyAlignment="1" applyFont="1" applyNumberFormat="1">
      <alignment horizontal="center" shrinkToFit="0" vertical="center" wrapText="1"/>
    </xf>
    <xf borderId="67" fillId="0" fontId="25" numFmtId="0" xfId="0" applyAlignment="1" applyBorder="1" applyFont="1">
      <alignment vertical="bottom"/>
    </xf>
    <xf borderId="8" fillId="7" fontId="25" numFmtId="0" xfId="0" applyAlignment="1" applyBorder="1" applyFont="1">
      <alignment horizontal="right" vertical="bottom"/>
    </xf>
    <xf borderId="8" fillId="7" fontId="25" numFmtId="0" xfId="0" applyAlignment="1" applyBorder="1" applyFont="1">
      <alignment vertical="bottom"/>
    </xf>
    <xf borderId="69" fillId="0" fontId="25" numFmtId="0" xfId="0" applyBorder="1" applyFont="1"/>
    <xf borderId="11" fillId="22" fontId="25" numFmtId="0" xfId="0" applyBorder="1" applyFont="1"/>
    <xf borderId="0" fillId="0" fontId="26" numFmtId="0" xfId="0" applyAlignment="1" applyFont="1">
      <alignment vertical="top"/>
    </xf>
    <xf borderId="0" fillId="2" fontId="26" numFmtId="0" xfId="0" applyAlignment="1" applyFont="1">
      <alignment vertical="top"/>
    </xf>
    <xf borderId="70" fillId="3" fontId="2" numFmtId="0" xfId="0" applyBorder="1" applyFont="1"/>
    <xf borderId="71" fillId="3" fontId="2" numFmtId="0" xfId="0" applyBorder="1" applyFont="1"/>
    <xf borderId="1" fillId="3" fontId="2" numFmtId="0" xfId="0" applyBorder="1" applyFont="1"/>
    <xf borderId="3" fillId="3" fontId="2" numFmtId="0" xfId="0" applyBorder="1" applyFont="1"/>
    <xf borderId="0" fillId="2" fontId="1" numFmtId="0" xfId="0" applyAlignment="1" applyFont="1">
      <alignment horizontal="center" shrinkToFit="0" vertical="center" wrapText="1"/>
    </xf>
    <xf borderId="0" fillId="2" fontId="1" numFmtId="0" xfId="0" applyAlignment="1" applyFont="1">
      <alignment horizontal="center" vertical="center"/>
    </xf>
    <xf borderId="0" fillId="2" fontId="1" numFmtId="0" xfId="0" applyFont="1"/>
    <xf borderId="0" fillId="0" fontId="27" numFmtId="0" xfId="0" applyFont="1"/>
    <xf borderId="0" fillId="25" fontId="16" numFmtId="0" xfId="0" applyAlignment="1" applyFill="1" applyFont="1">
      <alignment horizontal="center" shrinkToFit="0" vertical="center" wrapText="1"/>
    </xf>
    <xf borderId="72" fillId="26" fontId="28" numFmtId="0" xfId="0" applyAlignment="1" applyBorder="1" applyFill="1" applyFont="1">
      <alignment horizontal="center" shrinkToFit="0" vertical="center" wrapText="1"/>
    </xf>
    <xf borderId="73" fillId="0" fontId="5" numFmtId="0" xfId="0" applyBorder="1" applyFont="1"/>
    <xf borderId="74" fillId="0" fontId="5" numFmtId="0" xfId="0" applyBorder="1" applyFont="1"/>
    <xf borderId="52" fillId="15" fontId="18" numFmtId="0" xfId="0" applyAlignment="1" applyBorder="1" applyFont="1">
      <alignment horizontal="center" shrinkToFit="0" vertical="center" wrapText="1"/>
    </xf>
    <xf borderId="53" fillId="0" fontId="5" numFmtId="0" xfId="0" applyBorder="1" applyFont="1"/>
    <xf borderId="0" fillId="27" fontId="8" numFmtId="0" xfId="0" applyFill="1" applyFont="1"/>
    <xf borderId="7" fillId="22" fontId="29" numFmtId="0" xfId="0" applyAlignment="1" applyBorder="1" applyFont="1">
      <alignment horizontal="center" shrinkToFit="0" vertical="center" wrapText="1"/>
    </xf>
    <xf borderId="21" fillId="28" fontId="30" numFmtId="0" xfId="0" applyAlignment="1" applyBorder="1" applyFill="1" applyFont="1">
      <alignment horizontal="center" shrinkToFit="0" vertical="center" wrapText="1"/>
    </xf>
    <xf borderId="7" fillId="27" fontId="16" numFmtId="0" xfId="0" applyAlignment="1" applyBorder="1" applyFont="1">
      <alignment horizontal="center" shrinkToFit="0" vertical="center" wrapText="1"/>
    </xf>
    <xf borderId="21" fillId="17" fontId="30" numFmtId="0" xfId="0" applyAlignment="1" applyBorder="1" applyFont="1">
      <alignment horizontal="center" shrinkToFit="0" vertical="center" wrapText="1"/>
    </xf>
    <xf borderId="20" fillId="22" fontId="16" numFmtId="172" xfId="0" applyAlignment="1" applyBorder="1" applyFont="1" applyNumberFormat="1">
      <alignment horizontal="center" readingOrder="0" shrinkToFit="0" vertical="center" wrapText="1"/>
    </xf>
    <xf borderId="20" fillId="22" fontId="16" numFmtId="0" xfId="0" applyAlignment="1" applyBorder="1" applyFont="1">
      <alignment horizontal="center" readingOrder="0" shrinkToFit="0" vertical="center" wrapText="1"/>
    </xf>
    <xf borderId="20" fillId="22" fontId="16" numFmtId="0" xfId="0" applyAlignment="1" applyBorder="1" applyFont="1">
      <alignment horizontal="center" shrinkToFit="0" vertical="center" wrapText="1"/>
    </xf>
    <xf borderId="20" fillId="28" fontId="16" numFmtId="175" xfId="0" applyAlignment="1" applyBorder="1" applyFont="1" applyNumberFormat="1">
      <alignment horizontal="center" readingOrder="0" shrinkToFit="0" vertical="center" wrapText="1"/>
    </xf>
    <xf borderId="20" fillId="28" fontId="16" numFmtId="0" xfId="0" applyAlignment="1" applyBorder="1" applyFont="1">
      <alignment horizontal="center" readingOrder="0" shrinkToFit="0" vertical="center" wrapText="1"/>
    </xf>
    <xf borderId="20" fillId="12" fontId="16" numFmtId="175" xfId="0" applyAlignment="1" applyBorder="1" applyFont="1" applyNumberFormat="1">
      <alignment horizontal="center" shrinkToFit="0" vertical="center" wrapText="1"/>
    </xf>
    <xf borderId="20" fillId="12" fontId="16" numFmtId="0" xfId="0" applyAlignment="1" applyBorder="1" applyFont="1">
      <alignment horizontal="center" shrinkToFit="0" vertical="center" wrapText="1"/>
    </xf>
    <xf borderId="20" fillId="22" fontId="16" numFmtId="175" xfId="0" applyAlignment="1" applyBorder="1" applyFont="1" applyNumberFormat="1">
      <alignment horizontal="center" shrinkToFit="0" vertical="center" wrapText="1"/>
    </xf>
    <xf borderId="20" fillId="28" fontId="16" numFmtId="175" xfId="0" applyAlignment="1" applyBorder="1" applyFont="1" applyNumberFormat="1">
      <alignment horizontal="center" shrinkToFit="0" vertical="center" wrapText="1"/>
    </xf>
    <xf borderId="20" fillId="28" fontId="16" numFmtId="0" xfId="0" applyAlignment="1" applyBorder="1" applyFont="1">
      <alignment horizontal="center" shrinkToFit="0" wrapText="1"/>
    </xf>
    <xf borderId="20" fillId="22" fontId="16" numFmtId="175" xfId="0" applyAlignment="1" applyBorder="1" applyFont="1" applyNumberFormat="1">
      <alignment horizontal="center" readingOrder="0" shrinkToFit="0" vertical="center" wrapText="1"/>
    </xf>
    <xf borderId="20" fillId="22" fontId="16" numFmtId="165" xfId="0" applyAlignment="1" applyBorder="1" applyFont="1" applyNumberFormat="1">
      <alignment horizontal="center" shrinkToFit="0" vertical="center" wrapText="1"/>
    </xf>
    <xf borderId="20" fillId="22" fontId="16" numFmtId="172" xfId="0" applyAlignment="1" applyBorder="1" applyFont="1" applyNumberFormat="1">
      <alignment horizontal="center" shrinkToFit="0" vertical="center" wrapText="1"/>
    </xf>
    <xf borderId="20" fillId="28" fontId="16" numFmtId="0" xfId="0" applyAlignment="1" applyBorder="1" applyFont="1">
      <alignment horizontal="center" shrinkToFit="0" vertical="center" wrapText="1"/>
    </xf>
    <xf borderId="18" fillId="28" fontId="16" numFmtId="0" xfId="0" applyAlignment="1" applyBorder="1" applyFont="1">
      <alignment horizontal="center" shrinkToFit="0" vertical="center" wrapText="1"/>
    </xf>
    <xf borderId="18" fillId="28" fontId="16" numFmtId="0" xfId="0" applyAlignment="1" applyBorder="1" applyFont="1">
      <alignment horizontal="center" readingOrder="0" shrinkToFit="0" vertical="center" wrapText="1"/>
    </xf>
    <xf borderId="69" fillId="0" fontId="5" numFmtId="0" xfId="0" applyBorder="1" applyFont="1"/>
    <xf borderId="20" fillId="22" fontId="6" numFmtId="0" xfId="0" applyAlignment="1" applyBorder="1" applyFont="1">
      <alignment horizontal="center" readingOrder="0" shrinkToFit="0" vertical="center" wrapText="1"/>
    </xf>
    <xf borderId="20" fillId="22" fontId="31" numFmtId="0" xfId="0" applyAlignment="1" applyBorder="1" applyFont="1">
      <alignment horizontal="center" readingOrder="0" shrinkToFit="0" vertical="center" wrapText="1"/>
    </xf>
    <xf borderId="67" fillId="0" fontId="5" numFmtId="0" xfId="0" applyBorder="1" applyFont="1"/>
    <xf borderId="20" fillId="27" fontId="16" numFmtId="175" xfId="0" applyAlignment="1" applyBorder="1" applyFont="1" applyNumberFormat="1">
      <alignment horizontal="center" shrinkToFit="0" vertical="center" wrapText="1"/>
    </xf>
    <xf borderId="20" fillId="27" fontId="16" numFmtId="0" xfId="0" applyAlignment="1" applyBorder="1" applyFont="1">
      <alignment horizontal="center" shrinkToFit="0" vertical="center" wrapText="1"/>
    </xf>
    <xf borderId="0" fillId="25" fontId="24" numFmtId="0" xfId="0" applyAlignment="1" applyFont="1">
      <alignment horizontal="center" shrinkToFit="0" vertical="center" wrapText="1"/>
    </xf>
    <xf borderId="20" fillId="29" fontId="16" numFmtId="175" xfId="0" applyAlignment="1" applyBorder="1" applyFill="1" applyFont="1" applyNumberFormat="1">
      <alignment horizontal="center" shrinkToFit="0" vertical="center" wrapText="1"/>
    </xf>
    <xf borderId="20" fillId="29" fontId="16" numFmtId="0" xfId="0" applyAlignment="1" applyBorder="1" applyFont="1">
      <alignment horizontal="center" readingOrder="0" shrinkToFit="0" vertical="center" wrapText="1"/>
    </xf>
    <xf borderId="18" fillId="29" fontId="16" numFmtId="0" xfId="0" applyAlignment="1" applyBorder="1" applyFont="1">
      <alignment horizontal="center" readingOrder="0" shrinkToFit="0" vertical="center" wrapText="1"/>
    </xf>
    <xf borderId="20" fillId="12" fontId="16" numFmtId="171" xfId="0" applyAlignment="1" applyBorder="1" applyFont="1" applyNumberFormat="1">
      <alignment horizontal="center" shrinkToFit="0" vertical="center" wrapText="1"/>
    </xf>
    <xf borderId="0" fillId="25" fontId="16" numFmtId="16" xfId="0" applyAlignment="1" applyFont="1" applyNumberFormat="1">
      <alignment horizontal="center" shrinkToFit="0" vertical="center" wrapText="1"/>
    </xf>
    <xf borderId="20" fillId="29" fontId="31" numFmtId="0" xfId="0" applyAlignment="1" applyBorder="1" applyFont="1">
      <alignment horizontal="center" readingOrder="0" shrinkToFit="0" vertical="center" wrapText="1"/>
    </xf>
    <xf borderId="20" fillId="29" fontId="16" numFmtId="0" xfId="0" applyAlignment="1" applyBorder="1" applyFont="1">
      <alignment horizontal="center" shrinkToFit="0" vertical="center" wrapText="1"/>
    </xf>
    <xf borderId="20" fillId="12" fontId="32" numFmtId="0" xfId="0" applyAlignment="1" applyBorder="1" applyFont="1">
      <alignment horizontal="center" shrinkToFit="0" vertical="center" wrapText="1"/>
    </xf>
    <xf borderId="20" fillId="12" fontId="16" numFmtId="169" xfId="0" applyAlignment="1" applyBorder="1" applyFont="1" applyNumberFormat="1">
      <alignment horizontal="center" shrinkToFit="0" vertical="center" wrapText="1"/>
    </xf>
    <xf borderId="20" fillId="12" fontId="16" numFmtId="164" xfId="0" applyAlignment="1" applyBorder="1" applyFont="1" applyNumberFormat="1">
      <alignment horizontal="center" shrinkToFit="0" vertical="center" wrapText="1"/>
    </xf>
    <xf borderId="0" fillId="27" fontId="16" numFmtId="0" xfId="0" applyAlignment="1" applyFont="1">
      <alignment horizontal="center" shrinkToFit="0" vertical="center" wrapText="1"/>
    </xf>
    <xf borderId="75" fillId="27" fontId="16" numFmtId="0" xfId="0" applyAlignment="1" applyBorder="1" applyFont="1">
      <alignment horizontal="center" shrinkToFit="0" vertical="center" wrapText="1"/>
    </xf>
    <xf borderId="1" fillId="27" fontId="16" numFmtId="0" xfId="0" applyAlignment="1" applyBorder="1" applyFont="1">
      <alignment horizontal="center" shrinkToFit="0" vertical="center" wrapText="1"/>
    </xf>
    <xf borderId="0" fillId="25" fontId="8" numFmtId="0" xfId="0" applyFont="1"/>
    <xf borderId="20" fillId="3" fontId="16" numFmtId="0" xfId="0" applyAlignment="1" applyBorder="1" applyFont="1">
      <alignment horizontal="center" shrinkToFit="0" vertical="center" wrapText="1"/>
    </xf>
    <xf borderId="20" fillId="17" fontId="16" numFmtId="0" xfId="0" applyAlignment="1" applyBorder="1" applyFont="1">
      <alignment horizontal="center" shrinkToFit="0" vertical="center" wrapText="1"/>
    </xf>
    <xf borderId="20" fillId="30" fontId="16" numFmtId="0" xfId="0" applyAlignment="1" applyBorder="1" applyFill="1" applyFont="1">
      <alignment horizontal="center" shrinkToFit="0" vertical="center" wrapText="1"/>
    </xf>
    <xf borderId="20" fillId="8" fontId="16" numFmtId="0" xfId="0" applyAlignment="1" applyBorder="1" applyFont="1">
      <alignment horizontal="center" shrinkToFit="0" vertical="center" wrapText="1"/>
    </xf>
    <xf borderId="20" fillId="31" fontId="16" numFmtId="0" xfId="0" applyAlignment="1" applyBorder="1" applyFill="1" applyFont="1">
      <alignment horizontal="center" shrinkToFit="0" vertical="center" wrapText="1"/>
    </xf>
    <xf borderId="20" fillId="12" fontId="16" numFmtId="0" xfId="0" applyAlignment="1" applyBorder="1" applyFont="1">
      <alignment horizontal="center" shrinkToFit="0" wrapText="1"/>
    </xf>
    <xf borderId="0" fillId="25" fontId="6" numFmtId="0" xfId="0" applyAlignment="1" applyFont="1">
      <alignment shrinkToFit="0" wrapText="1"/>
    </xf>
    <xf borderId="1" fillId="25" fontId="16" numFmtId="0" xfId="0" applyAlignment="1" applyBorder="1" applyFont="1">
      <alignment horizontal="center" shrinkToFit="0" vertical="center" wrapText="1"/>
    </xf>
    <xf borderId="3" fillId="27" fontId="16" numFmtId="0" xfId="0" applyAlignment="1" applyBorder="1" applyFont="1">
      <alignment horizontal="center" shrinkToFit="0" vertical="center" wrapText="1"/>
    </xf>
    <xf borderId="3" fillId="25" fontId="16" numFmtId="0" xfId="0" applyAlignment="1" applyBorder="1" applyFont="1">
      <alignment horizontal="center" shrinkToFit="0" vertical="center" wrapText="1"/>
    </xf>
    <xf borderId="20" fillId="3" fontId="16" numFmtId="0" xfId="0" applyAlignment="1" applyBorder="1" applyFont="1">
      <alignment horizontal="center" readingOrder="0" shrinkToFit="0" vertical="center" wrapText="1"/>
    </xf>
    <xf borderId="20" fillId="7" fontId="16" numFmtId="0" xfId="0" applyAlignment="1" applyBorder="1" applyFont="1">
      <alignment horizontal="center" shrinkToFit="0" vertical="center" wrapText="1"/>
    </xf>
    <xf borderId="20" fillId="2" fontId="16" numFmtId="0" xfId="0" applyAlignment="1" applyBorder="1" applyFont="1">
      <alignment horizontal="center" shrinkToFit="0" vertical="center" wrapText="1"/>
    </xf>
    <xf borderId="20" fillId="2" fontId="16" numFmtId="0" xfId="0" applyAlignment="1" applyBorder="1" applyFont="1">
      <alignment horizontal="center" readingOrder="0" shrinkToFit="0" vertical="center" wrapText="1"/>
    </xf>
    <xf borderId="20" fillId="32" fontId="16" numFmtId="0" xfId="0" applyAlignment="1" applyBorder="1" applyFill="1" applyFont="1">
      <alignment horizontal="center" shrinkToFit="0" vertical="center" wrapText="1"/>
    </xf>
    <xf borderId="20" fillId="33" fontId="16" numFmtId="0" xfId="0" applyAlignment="1" applyBorder="1" applyFill="1" applyFont="1">
      <alignment horizontal="center" shrinkToFit="0" vertical="center" wrapText="1"/>
    </xf>
    <xf borderId="20" fillId="34" fontId="16" numFmtId="0" xfId="0" applyAlignment="1" applyBorder="1" applyFill="1" applyFont="1">
      <alignment horizontal="center" shrinkToFit="0" vertical="center" wrapText="1"/>
    </xf>
    <xf borderId="20" fillId="15" fontId="16" numFmtId="0" xfId="0" applyAlignment="1" applyBorder="1" applyFont="1">
      <alignment horizontal="center" shrinkToFit="0" vertical="center" wrapText="1"/>
    </xf>
    <xf borderId="20" fillId="35" fontId="16" numFmtId="0" xfId="0" applyAlignment="1" applyBorder="1" applyFill="1" applyFont="1">
      <alignment horizontal="center" shrinkToFit="0" vertical="center" wrapText="1"/>
    </xf>
    <xf borderId="20" fillId="36" fontId="16" numFmtId="0" xfId="0" applyAlignment="1" applyBorder="1" applyFill="1" applyFont="1">
      <alignment horizontal="center" shrinkToFit="0" vertical="center" wrapText="1"/>
    </xf>
    <xf borderId="20" fillId="6" fontId="16" numFmtId="0" xfId="0" applyAlignment="1" applyBorder="1" applyFont="1">
      <alignment horizontal="center" shrinkToFit="0" vertical="center" wrapText="1"/>
    </xf>
    <xf borderId="20" fillId="37" fontId="16" numFmtId="0" xfId="0" applyAlignment="1" applyBorder="1" applyFill="1" applyFont="1">
      <alignment horizontal="center" shrinkToFit="0" vertical="center" wrapText="1"/>
    </xf>
    <xf borderId="0" fillId="38" fontId="16" numFmtId="0" xfId="0" applyAlignment="1" applyFill="1" applyFont="1">
      <alignment horizontal="center" shrinkToFit="0" vertical="center" wrapText="1"/>
    </xf>
    <xf borderId="20" fillId="39" fontId="16" numFmtId="0" xfId="0" applyAlignment="1" applyBorder="1" applyFill="1" applyFont="1">
      <alignment horizontal="center" shrinkToFit="0" vertical="center" wrapText="1"/>
    </xf>
    <xf borderId="0" fillId="25" fontId="32" numFmtId="0" xfId="0" applyAlignment="1" applyFont="1">
      <alignment horizontal="center" shrinkToFit="0" vertical="center" wrapText="1"/>
    </xf>
    <xf borderId="0" fillId="40" fontId="30" numFmtId="0" xfId="0" applyAlignment="1" applyFill="1" applyFont="1">
      <alignment horizontal="center"/>
    </xf>
    <xf borderId="20" fillId="10" fontId="33" numFmtId="0" xfId="0" applyAlignment="1" applyBorder="1" applyFont="1">
      <alignment horizontal="center" vertical="center"/>
    </xf>
    <xf borderId="0" fillId="40" fontId="21" numFmtId="0" xfId="0" applyAlignment="1" applyFont="1">
      <alignment horizontal="center"/>
    </xf>
    <xf borderId="20" fillId="19" fontId="34" numFmtId="171" xfId="0" applyAlignment="1" applyBorder="1" applyFont="1" applyNumberFormat="1">
      <alignment horizontal="center" vertical="center"/>
    </xf>
    <xf borderId="20" fillId="19" fontId="34" numFmtId="168" xfId="0" applyAlignment="1" applyBorder="1" applyFont="1" applyNumberFormat="1">
      <alignment horizontal="center" vertical="center"/>
    </xf>
    <xf borderId="0" fillId="40" fontId="8" numFmtId="0" xfId="0" applyFont="1"/>
    <xf borderId="76" fillId="41" fontId="1" numFmtId="0" xfId="0" applyAlignment="1" applyBorder="1" applyFill="1" applyFont="1">
      <alignment horizontal="center" shrinkToFit="0" vertical="center" wrapText="1"/>
    </xf>
    <xf borderId="77" fillId="41" fontId="2" numFmtId="0" xfId="0" applyAlignment="1" applyBorder="1" applyFont="1">
      <alignment horizontal="center" shrinkToFit="0" vertical="center" wrapText="1"/>
    </xf>
    <xf borderId="76" fillId="41" fontId="2" numFmtId="0" xfId="0" applyAlignment="1" applyBorder="1" applyFont="1">
      <alignment horizontal="center" shrinkToFit="0" vertical="center" wrapText="1"/>
    </xf>
    <xf borderId="78" fillId="35" fontId="35" numFmtId="0" xfId="0" applyAlignment="1" applyBorder="1" applyFont="1">
      <alignment horizontal="center" shrinkToFit="0" vertical="center" wrapText="1"/>
    </xf>
    <xf borderId="18" fillId="40" fontId="36" numFmtId="0" xfId="0" applyAlignment="1" applyBorder="1" applyFont="1">
      <alignment horizontal="center" shrinkToFit="0" vertical="center" wrapText="1"/>
    </xf>
    <xf borderId="79" fillId="42" fontId="37" numFmtId="0" xfId="0" applyAlignment="1" applyBorder="1" applyFill="1" applyFont="1">
      <alignment horizontal="center" shrinkToFit="0" vertical="center" wrapText="1"/>
    </xf>
    <xf borderId="77" fillId="35" fontId="35" numFmtId="0" xfId="0" applyAlignment="1" applyBorder="1" applyFont="1">
      <alignment horizontal="center" readingOrder="0" shrinkToFit="0" vertical="center" wrapText="1"/>
    </xf>
    <xf borderId="80" fillId="35" fontId="35" numFmtId="0" xfId="0" applyAlignment="1" applyBorder="1" applyFont="1">
      <alignment horizontal="center" readingOrder="0" shrinkToFit="0" vertical="center" wrapText="1"/>
    </xf>
    <xf borderId="79" fillId="0" fontId="5" numFmtId="0" xfId="0" applyBorder="1" applyFont="1"/>
    <xf borderId="77" fillId="35" fontId="35" numFmtId="0" xfId="0" applyAlignment="1" applyBorder="1" applyFont="1">
      <alignment horizontal="center" shrinkToFit="0" vertical="center" wrapText="1"/>
    </xf>
    <xf borderId="80" fillId="41" fontId="2" numFmtId="0" xfId="0" applyAlignment="1" applyBorder="1" applyFont="1">
      <alignment horizontal="center" readingOrder="0" shrinkToFit="0" vertical="center" wrapText="1"/>
    </xf>
    <xf borderId="81" fillId="0" fontId="5" numFmtId="0" xfId="0" applyBorder="1" applyFont="1"/>
    <xf borderId="76" fillId="35" fontId="35" numFmtId="0" xfId="0" applyAlignment="1" applyBorder="1" applyFont="1">
      <alignment horizontal="center" shrinkToFit="0" vertical="center" wrapText="1"/>
    </xf>
    <xf borderId="76" fillId="35" fontId="35" numFmtId="0" xfId="0" applyAlignment="1" applyBorder="1" applyFont="1">
      <alignment horizontal="center" readingOrder="0" shrinkToFit="0" vertical="center" wrapText="1"/>
    </xf>
    <xf borderId="82" fillId="35" fontId="35" numFmtId="0" xfId="0" applyAlignment="1" applyBorder="1" applyFont="1">
      <alignment horizontal="center" readingOrder="0" shrinkToFit="0" vertical="center" wrapText="1"/>
    </xf>
    <xf borderId="83" fillId="35" fontId="35" numFmtId="0" xfId="0" applyAlignment="1" applyBorder="1" applyFont="1">
      <alignment horizontal="center" readingOrder="0" shrinkToFit="0" vertical="center" wrapText="1"/>
    </xf>
    <xf borderId="84" fillId="35" fontId="35" numFmtId="0" xfId="0" applyAlignment="1" applyBorder="1" applyFont="1">
      <alignment horizontal="center" shrinkToFit="0" vertical="center" wrapText="1"/>
    </xf>
    <xf borderId="78" fillId="35" fontId="35" numFmtId="0" xfId="0" applyAlignment="1" applyBorder="1" applyFont="1">
      <alignment horizontal="center" readingOrder="0" shrinkToFit="0" vertical="center" wrapText="1"/>
    </xf>
    <xf borderId="76" fillId="27" fontId="35" numFmtId="0" xfId="0" applyAlignment="1" applyBorder="1" applyFont="1">
      <alignment horizontal="center" shrinkToFit="0" vertical="center" wrapText="1"/>
    </xf>
    <xf borderId="76" fillId="27" fontId="35" numFmtId="0" xfId="0" applyAlignment="1" applyBorder="1" applyFont="1">
      <alignment horizontal="center" shrinkToFit="0" vertical="top" wrapText="1"/>
    </xf>
    <xf borderId="80" fillId="35" fontId="35" numFmtId="0" xfId="0" applyAlignment="1" applyBorder="1" applyFont="1">
      <alignment horizontal="center" shrinkToFit="0" vertical="top" wrapText="1"/>
    </xf>
    <xf borderId="69" fillId="19" fontId="34" numFmtId="171" xfId="0" applyAlignment="1" applyBorder="1" applyFont="1" applyNumberFormat="1">
      <alignment horizontal="center" readingOrder="0" vertical="center"/>
    </xf>
    <xf borderId="20" fillId="19" fontId="34" numFmtId="171" xfId="0" applyAlignment="1" applyBorder="1" applyFont="1" applyNumberFormat="1">
      <alignment horizontal="center" readingOrder="0" vertical="center"/>
    </xf>
    <xf borderId="77" fillId="35" fontId="35" numFmtId="0" xfId="0" applyAlignment="1" applyBorder="1" applyFont="1">
      <alignment horizontal="center" readingOrder="0" shrinkToFit="0" vertical="top" wrapText="1"/>
    </xf>
    <xf borderId="78" fillId="35" fontId="35" numFmtId="0" xfId="0" applyAlignment="1" applyBorder="1" applyFont="1">
      <alignment horizontal="center" shrinkToFit="0" vertical="top" wrapText="1"/>
    </xf>
    <xf borderId="76" fillId="35" fontId="35" numFmtId="0" xfId="0" applyAlignment="1" applyBorder="1" applyFont="1">
      <alignment horizontal="center" readingOrder="0" shrinkToFit="0" vertical="top" wrapText="1"/>
    </xf>
    <xf borderId="76" fillId="35" fontId="35" numFmtId="0" xfId="0" applyAlignment="1" applyBorder="1" applyFont="1">
      <alignment horizontal="center" shrinkToFit="0" vertical="top" wrapText="1"/>
    </xf>
    <xf borderId="77" fillId="35" fontId="35" numFmtId="0" xfId="0" applyAlignment="1" applyBorder="1" applyFont="1">
      <alignment horizontal="center" shrinkToFit="0" vertical="top" wrapText="1"/>
    </xf>
    <xf borderId="0" fillId="42" fontId="37" numFmtId="0" xfId="0" applyAlignment="1" applyFont="1">
      <alignment horizontal="center" shrinkToFit="0" vertical="center" wrapText="1"/>
    </xf>
    <xf borderId="78" fillId="35" fontId="35" numFmtId="0" xfId="0" applyAlignment="1" applyBorder="1" applyFont="1">
      <alignment horizontal="center" readingOrder="0" shrinkToFit="0" vertical="top" wrapText="1"/>
    </xf>
    <xf borderId="0" fillId="35" fontId="35" numFmtId="0" xfId="0" applyAlignment="1" applyFont="1">
      <alignment horizontal="center" shrinkToFit="0" vertical="top" wrapText="1"/>
    </xf>
    <xf borderId="0" fillId="40" fontId="36" numFmtId="0" xfId="0" applyAlignment="1" applyFont="1">
      <alignment horizontal="center" shrinkToFit="0" vertical="center" wrapText="1"/>
    </xf>
    <xf borderId="20" fillId="22" fontId="16" numFmtId="0" xfId="0" applyAlignment="1" applyBorder="1" applyFont="1">
      <alignment horizontal="center" vertical="center"/>
    </xf>
    <xf borderId="20" fillId="2" fontId="16" numFmtId="168" xfId="0" applyAlignment="1" applyBorder="1" applyFont="1" applyNumberFormat="1">
      <alignment horizontal="center" vertical="center"/>
    </xf>
    <xf borderId="20" fillId="2" fontId="16" numFmtId="0" xfId="0" applyAlignment="1" applyBorder="1" applyFont="1">
      <alignment horizontal="center" vertical="center"/>
    </xf>
    <xf borderId="20" fillId="0" fontId="16" numFmtId="0" xfId="0" applyAlignment="1" applyBorder="1" applyFont="1">
      <alignment horizontal="center" vertical="center"/>
    </xf>
    <xf borderId="20" fillId="2" fontId="16" numFmtId="168" xfId="0" applyAlignment="1" applyBorder="1" applyFont="1" applyNumberFormat="1">
      <alignment horizontal="center" readingOrder="0" vertical="center"/>
    </xf>
    <xf borderId="20" fillId="0" fontId="16" numFmtId="0" xfId="0" applyAlignment="1" applyBorder="1" applyFont="1">
      <alignment horizontal="center" readingOrder="0" vertical="center"/>
    </xf>
    <xf borderId="20" fillId="0" fontId="16" numFmtId="0" xfId="0" applyAlignment="1" applyBorder="1" applyFont="1">
      <alignment horizontal="center" readingOrder="0" shrinkToFit="0" vertical="center" wrapText="1"/>
    </xf>
    <xf borderId="20" fillId="0" fontId="16" numFmtId="0" xfId="0" applyAlignment="1" applyBorder="1" applyFont="1">
      <alignment horizontal="center" shrinkToFit="0" vertical="center" wrapText="1"/>
    </xf>
    <xf borderId="20" fillId="0" fontId="38" numFmtId="0" xfId="0" applyAlignment="1" applyBorder="1" applyFont="1">
      <alignment horizontal="left" vertical="center"/>
    </xf>
    <xf borderId="20" fillId="0" fontId="31" numFmtId="0" xfId="0" applyAlignment="1" applyBorder="1" applyFont="1">
      <alignment horizontal="center"/>
    </xf>
    <xf borderId="0" fillId="26" fontId="39" numFmtId="0" xfId="0" applyAlignment="1" applyFont="1">
      <alignment horizontal="center" vertical="center"/>
    </xf>
    <xf borderId="21" fillId="35" fontId="21" numFmtId="0" xfId="0" applyAlignment="1" applyBorder="1" applyFont="1">
      <alignment horizontal="center" shrinkToFit="0" vertical="center" wrapText="1"/>
    </xf>
    <xf borderId="21" fillId="0" fontId="16" numFmtId="0" xfId="0" applyAlignment="1" applyBorder="1" applyFont="1">
      <alignment horizontal="center" shrinkToFit="0" vertical="center" wrapText="1"/>
    </xf>
    <xf borderId="21" fillId="29" fontId="24" numFmtId="0" xfId="0" applyAlignment="1" applyBorder="1" applyFont="1">
      <alignment horizontal="center" readingOrder="0" shrinkToFit="0" vertical="center" wrapText="1"/>
    </xf>
    <xf borderId="21" fillId="29" fontId="24" numFmtId="0" xfId="0" applyAlignment="1" applyBorder="1" applyFont="1">
      <alignment horizontal="center" shrinkToFit="0" vertical="center" wrapText="1"/>
    </xf>
    <xf borderId="0" fillId="41" fontId="40" numFmtId="0" xfId="0" applyAlignment="1" applyFont="1">
      <alignment horizontal="center" vertical="center"/>
    </xf>
    <xf borderId="0" fillId="2" fontId="40" numFmtId="0" xfId="0" applyAlignment="1" applyFont="1">
      <alignment horizontal="center" vertical="center"/>
    </xf>
    <xf borderId="20" fillId="29" fontId="16" numFmtId="168" xfId="0" applyAlignment="1" applyBorder="1" applyFont="1" applyNumberFormat="1">
      <alignment horizontal="center" vertical="center"/>
    </xf>
    <xf borderId="20" fillId="29" fontId="16" numFmtId="0" xfId="0" applyAlignment="1" applyBorder="1" applyFont="1">
      <alignment horizontal="center" vertical="center"/>
    </xf>
    <xf borderId="84" fillId="27" fontId="41" numFmtId="0" xfId="0" applyAlignment="1" applyBorder="1" applyFont="1">
      <alignment horizontal="center" vertical="center"/>
    </xf>
    <xf borderId="85" fillId="0" fontId="5" numFmtId="0" xfId="0" applyBorder="1" applyFont="1"/>
    <xf borderId="86" fillId="0" fontId="5" numFmtId="0" xfId="0" applyBorder="1" applyFont="1"/>
    <xf borderId="86" fillId="2" fontId="41" numFmtId="0" xfId="0" applyAlignment="1" applyBorder="1" applyFont="1">
      <alignment horizontal="center" vertical="center"/>
    </xf>
    <xf borderId="20" fillId="2" fontId="16" numFmtId="176" xfId="0" applyAlignment="1" applyBorder="1" applyFont="1" applyNumberFormat="1">
      <alignment horizontal="center" vertical="center"/>
    </xf>
    <xf borderId="78" fillId="0" fontId="5" numFmtId="0" xfId="0" applyBorder="1" applyFont="1"/>
    <xf borderId="87" fillId="0" fontId="5" numFmtId="0" xfId="0" applyBorder="1" applyFont="1"/>
    <xf borderId="9" fillId="0" fontId="16" numFmtId="0" xfId="0" applyAlignment="1" applyBorder="1" applyFont="1">
      <alignment horizontal="center" vertical="center"/>
    </xf>
    <xf borderId="20" fillId="2" fontId="16" numFmtId="172" xfId="0" applyAlignment="1" applyBorder="1" applyFont="1" applyNumberFormat="1">
      <alignment horizontal="center" vertical="center"/>
    </xf>
    <xf borderId="21" fillId="0" fontId="16" numFmtId="0" xfId="0" applyAlignment="1" applyBorder="1" applyFont="1">
      <alignment horizontal="center" vertical="center"/>
    </xf>
    <xf borderId="21" fillId="21" fontId="16" numFmtId="0" xfId="0" applyAlignment="1" applyBorder="1" applyFont="1">
      <alignment horizontal="center" vertical="center"/>
    </xf>
    <xf borderId="20" fillId="2" fontId="16" numFmtId="167" xfId="0" applyAlignment="1" applyBorder="1" applyFont="1" applyNumberFormat="1">
      <alignment horizontal="center" vertical="center"/>
    </xf>
    <xf borderId="20" fillId="43" fontId="8" numFmtId="0" xfId="0" applyBorder="1" applyFill="1" applyFont="1"/>
    <xf borderId="20" fillId="19" fontId="8" numFmtId="0" xfId="0" applyBorder="1" applyFont="1"/>
    <xf borderId="20" fillId="21" fontId="8" numFmtId="0" xfId="0" applyBorder="1" applyFont="1"/>
    <xf borderId="20" fillId="29" fontId="8" numFmtId="0" xfId="0" applyBorder="1" applyFont="1"/>
    <xf borderId="21" fillId="43" fontId="16" numFmtId="0" xfId="0" applyAlignment="1" applyBorder="1" applyFont="1">
      <alignment horizontal="center" vertical="center"/>
    </xf>
    <xf borderId="21" fillId="16" fontId="16" numFmtId="0" xfId="0" applyAlignment="1" applyBorder="1" applyFont="1">
      <alignment horizontal="center" vertical="center"/>
    </xf>
    <xf borderId="21" fillId="14" fontId="16" numFmtId="0" xfId="0" applyAlignment="1" applyBorder="1" applyFont="1">
      <alignment horizontal="center" vertical="center"/>
    </xf>
    <xf borderId="0" fillId="0" fontId="16" numFmtId="0" xfId="0" applyAlignment="1" applyFont="1">
      <alignment horizontal="center" vertical="center"/>
    </xf>
    <xf borderId="0" fillId="0" fontId="8" numFmtId="0" xfId="0" applyAlignment="1" applyFont="1">
      <alignment horizontal="center"/>
    </xf>
    <xf borderId="0" fillId="0" fontId="33" numFmtId="0" xfId="0" applyAlignment="1" applyFont="1">
      <alignment horizontal="center"/>
    </xf>
    <xf borderId="0" fillId="0" fontId="30" numFmtId="0" xfId="0" applyAlignment="1" applyFont="1">
      <alignment horizontal="center" vertical="center"/>
    </xf>
    <xf borderId="21" fillId="12" fontId="42" numFmtId="0" xfId="0" applyAlignment="1" applyBorder="1" applyFont="1">
      <alignment horizontal="center" shrinkToFit="0" vertical="center" wrapText="1"/>
    </xf>
    <xf borderId="20" fillId="22" fontId="6" numFmtId="0" xfId="0" applyAlignment="1" applyBorder="1" applyFont="1">
      <alignment horizontal="center" shrinkToFit="0" vertical="center" wrapText="1"/>
    </xf>
    <xf borderId="0" fillId="0" fontId="31" numFmtId="0" xfId="0" applyAlignment="1" applyFont="1">
      <alignment horizontal="center" vertical="center"/>
    </xf>
    <xf borderId="20" fillId="2" fontId="21" numFmtId="0" xfId="0" applyAlignment="1" applyBorder="1" applyFont="1">
      <alignment horizontal="left" shrinkToFit="0" vertical="top" wrapText="1"/>
    </xf>
    <xf borderId="20" fillId="0" fontId="21" numFmtId="0" xfId="0" applyAlignment="1" applyBorder="1" applyFont="1">
      <alignment horizontal="left" shrinkToFit="0" vertical="top" wrapText="1"/>
    </xf>
    <xf borderId="20" fillId="0" fontId="33" numFmtId="0" xfId="0" applyAlignment="1" applyBorder="1" applyFont="1">
      <alignment horizontal="center" shrinkToFit="0" vertical="center" wrapText="1"/>
    </xf>
    <xf borderId="20" fillId="0" fontId="34" numFmtId="0" xfId="0" applyAlignment="1" applyBorder="1" applyFont="1">
      <alignment horizontal="center" vertical="center"/>
    </xf>
    <xf borderId="31" fillId="2" fontId="21" numFmtId="0" xfId="0" applyAlignment="1" applyBorder="1" applyFont="1">
      <alignment horizontal="left" shrinkToFit="0" vertical="top" wrapText="1"/>
    </xf>
    <xf borderId="0" fillId="0" fontId="43" numFmtId="0" xfId="0" applyAlignment="1" applyFont="1">
      <alignment horizontal="center" readingOrder="0" vertical="center"/>
    </xf>
    <xf borderId="20" fillId="9" fontId="33" numFmtId="0" xfId="0" applyAlignment="1" applyBorder="1" applyFont="1">
      <alignment horizontal="center" readingOrder="0" shrinkToFit="0" vertical="center" wrapText="1"/>
    </xf>
    <xf borderId="20" fillId="0" fontId="34" numFmtId="0" xfId="0" applyAlignment="1" applyBorder="1" applyFont="1">
      <alignment horizontal="center" readingOrder="0" vertical="center"/>
    </xf>
    <xf borderId="0" fillId="0" fontId="33" numFmtId="0" xfId="0" applyAlignment="1" applyFont="1">
      <alignment horizontal="center" vertical="center"/>
    </xf>
    <xf borderId="0" fillId="0" fontId="34" numFmtId="0" xfId="0" applyFont="1"/>
    <xf borderId="4" fillId="14" fontId="44" numFmtId="0" xfId="0" applyAlignment="1" applyBorder="1" applyFont="1">
      <alignment horizontal="center" vertical="center"/>
    </xf>
    <xf borderId="65" fillId="14" fontId="29" numFmtId="0" xfId="0" applyAlignment="1" applyBorder="1" applyFont="1">
      <alignment horizontal="center" vertical="center"/>
    </xf>
    <xf borderId="88" fillId="14" fontId="29" numFmtId="0" xfId="0" applyAlignment="1" applyBorder="1" applyFont="1">
      <alignment horizontal="center" vertical="center"/>
    </xf>
    <xf borderId="89" fillId="0" fontId="5" numFmtId="0" xfId="0" applyBorder="1" applyFont="1"/>
    <xf borderId="65" fillId="14" fontId="29" numFmtId="0" xfId="0" applyAlignment="1" applyBorder="1" applyFont="1">
      <alignment horizontal="center" shrinkToFit="0" vertical="center" wrapText="1"/>
    </xf>
    <xf borderId="88" fillId="14" fontId="29" numFmtId="9" xfId="0" applyAlignment="1" applyBorder="1" applyFont="1" applyNumberFormat="1">
      <alignment horizontal="center" vertical="center"/>
    </xf>
    <xf borderId="64" fillId="0" fontId="5" numFmtId="0" xfId="0" applyBorder="1" applyFont="1"/>
    <xf borderId="45" fillId="0" fontId="5" numFmtId="0" xfId="0" applyBorder="1" applyFont="1"/>
    <xf borderId="90" fillId="0" fontId="5" numFmtId="0" xfId="0" applyBorder="1" applyFont="1"/>
    <xf borderId="65" fillId="14" fontId="30" numFmtId="171" xfId="0" applyAlignment="1" applyBorder="1" applyFont="1" applyNumberFormat="1">
      <alignment horizontal="center" vertical="center"/>
    </xf>
    <xf borderId="4" fillId="14" fontId="30" numFmtId="0" xfId="0" applyAlignment="1" applyBorder="1" applyFont="1">
      <alignment horizontal="center" vertical="center"/>
    </xf>
    <xf borderId="18" fillId="14" fontId="30" numFmtId="0" xfId="0" applyAlignment="1" applyBorder="1" applyFont="1">
      <alignment horizontal="center" vertical="center"/>
    </xf>
    <xf borderId="4" fillId="14" fontId="30" numFmtId="0" xfId="0" applyAlignment="1" applyBorder="1" applyFont="1">
      <alignment horizontal="center" readingOrder="0" vertical="center"/>
    </xf>
    <xf borderId="65" fillId="14" fontId="30" numFmtId="171" xfId="0" applyAlignment="1" applyBorder="1" applyFont="1" applyNumberFormat="1">
      <alignment horizontal="center" readingOrder="0" vertical="center"/>
    </xf>
    <xf borderId="18" fillId="14" fontId="30" numFmtId="0" xfId="0" applyAlignment="1" applyBorder="1" applyFont="1">
      <alignment horizontal="center" readingOrder="0" vertical="center"/>
    </xf>
    <xf borderId="65" fillId="14" fontId="30" numFmtId="0" xfId="0" applyAlignment="1" applyBorder="1" applyFont="1">
      <alignment horizontal="center" vertical="center"/>
    </xf>
    <xf borderId="91" fillId="14" fontId="30" numFmtId="171" xfId="0" applyAlignment="1" applyBorder="1" applyFont="1" applyNumberFormat="1">
      <alignment horizontal="center" vertical="center"/>
    </xf>
    <xf borderId="65" fillId="14" fontId="30" numFmtId="170" xfId="0" applyAlignment="1" applyBorder="1" applyFont="1" applyNumberFormat="1">
      <alignment horizontal="center" vertical="center"/>
    </xf>
    <xf borderId="7" fillId="14" fontId="30" numFmtId="0" xfId="0" applyAlignment="1" applyBorder="1" applyFont="1">
      <alignment horizontal="center" vertical="center"/>
    </xf>
    <xf borderId="65" fillId="14" fontId="30" numFmtId="168" xfId="0" applyAlignment="1" applyBorder="1" applyFont="1" applyNumberFormat="1">
      <alignment horizontal="center" vertical="center"/>
    </xf>
    <xf borderId="4" fillId="15" fontId="30" numFmtId="0" xfId="0" applyAlignment="1" applyBorder="1" applyFont="1">
      <alignment horizontal="center" vertical="center"/>
    </xf>
    <xf borderId="0" fillId="0" fontId="8" numFmtId="9" xfId="0" applyFont="1" applyNumberFormat="1"/>
    <xf borderId="18" fillId="14" fontId="29" numFmtId="0" xfId="0" applyAlignment="1" applyBorder="1" applyFont="1">
      <alignment horizontal="center" vertical="center"/>
    </xf>
    <xf borderId="4" fillId="14" fontId="29" numFmtId="0" xfId="0" applyAlignment="1" applyBorder="1" applyFont="1">
      <alignment horizontal="center" vertical="center"/>
    </xf>
    <xf borderId="18" fillId="14" fontId="29" numFmtId="0" xfId="0" applyAlignment="1" applyBorder="1" applyFont="1">
      <alignment horizontal="center" shrinkToFit="0" vertical="center" wrapText="1"/>
    </xf>
    <xf borderId="18" fillId="14" fontId="30" numFmtId="171" xfId="0" applyAlignment="1" applyBorder="1" applyFont="1" applyNumberFormat="1">
      <alignment horizontal="center" readingOrder="0" vertical="center"/>
    </xf>
    <xf borderId="18" fillId="16" fontId="30" numFmtId="171" xfId="0" applyAlignment="1" applyBorder="1" applyFont="1" applyNumberFormat="1">
      <alignment horizontal="center" readingOrder="0" vertical="center"/>
    </xf>
    <xf borderId="4" fillId="16" fontId="30" numFmtId="0" xfId="0" applyAlignment="1" applyBorder="1" applyFont="1">
      <alignment horizontal="center" readingOrder="0" vertical="center"/>
    </xf>
    <xf borderId="18" fillId="16" fontId="30" numFmtId="0" xfId="0" applyAlignment="1" applyBorder="1" applyFont="1">
      <alignment horizontal="center" vertical="center"/>
    </xf>
    <xf borderId="4" fillId="16" fontId="30" numFmtId="0" xfId="0" applyAlignment="1" applyBorder="1" applyFont="1">
      <alignment horizontal="center" vertical="center"/>
    </xf>
    <xf borderId="18" fillId="29" fontId="30" numFmtId="171" xfId="0" applyAlignment="1" applyBorder="1" applyFont="1" applyNumberFormat="1">
      <alignment horizontal="center" readingOrder="0" vertical="center"/>
    </xf>
    <xf borderId="4" fillId="29" fontId="30" numFmtId="0" xfId="0" applyAlignment="1" applyBorder="1" applyFont="1">
      <alignment horizontal="center" readingOrder="0" vertical="center"/>
    </xf>
    <xf borderId="18" fillId="29" fontId="30" numFmtId="0" xfId="0" applyAlignment="1" applyBorder="1" applyFont="1">
      <alignment horizontal="center" vertical="center"/>
    </xf>
    <xf borderId="4" fillId="29" fontId="30" numFmtId="0" xfId="0" applyAlignment="1" applyBorder="1" applyFont="1">
      <alignment horizontal="center" vertical="center"/>
    </xf>
    <xf borderId="18" fillId="14" fontId="30" numFmtId="171" xfId="0" applyAlignment="1" applyBorder="1" applyFont="1" applyNumberFormat="1">
      <alignment horizontal="center" vertical="center"/>
    </xf>
    <xf borderId="52" fillId="17" fontId="18" numFmtId="0" xfId="0" applyAlignment="1" applyBorder="1" applyFont="1">
      <alignment horizontal="center"/>
    </xf>
    <xf borderId="66" fillId="0" fontId="5" numFmtId="0" xfId="0" applyBorder="1" applyFont="1"/>
    <xf borderId="49" fillId="0" fontId="5" numFmtId="0" xfId="0" applyBorder="1" applyFont="1"/>
    <xf borderId="92" fillId="0" fontId="5" numFmtId="0" xfId="0" applyBorder="1" applyFont="1"/>
    <xf borderId="88" fillId="30" fontId="6" numFmtId="0" xfId="0" applyAlignment="1" applyBorder="1" applyFont="1">
      <alignment horizontal="right" vertical="bottom"/>
    </xf>
    <xf borderId="93" fillId="0" fontId="5" numFmtId="0" xfId="0" applyBorder="1" applyFont="1"/>
    <xf borderId="93" fillId="30" fontId="6" numFmtId="0" xfId="0" applyAlignment="1" applyBorder="1" applyFont="1">
      <alignment horizontal="center" vertical="center"/>
    </xf>
    <xf borderId="12" fillId="30" fontId="6" numFmtId="0" xfId="0" applyAlignment="1" applyBorder="1" applyFont="1">
      <alignment horizontal="right" vertical="bottom"/>
    </xf>
    <xf borderId="0" fillId="30" fontId="6" numFmtId="0" xfId="0" applyAlignment="1" applyFont="1">
      <alignment horizontal="center" vertical="center"/>
    </xf>
    <xf borderId="94" fillId="0" fontId="5" numFmtId="0" xfId="0" applyBorder="1" applyFont="1"/>
    <xf borderId="0" fillId="30" fontId="6" numFmtId="0" xfId="0" applyAlignment="1" applyFont="1">
      <alignment horizontal="center" readingOrder="0" vertical="center"/>
    </xf>
    <xf borderId="95" fillId="30" fontId="6" numFmtId="0" xfId="0" applyAlignment="1" applyBorder="1" applyFont="1">
      <alignment horizontal="right" vertical="bottom"/>
    </xf>
    <xf borderId="49" fillId="30" fontId="6" numFmtId="0" xfId="0" applyAlignment="1" applyBorder="1" applyFont="1">
      <alignment horizontal="center" vertical="center"/>
    </xf>
    <xf borderId="96" fillId="0" fontId="5" numFmtId="0" xfId="0" applyBorder="1" applyFont="1"/>
    <xf borderId="97" fillId="22" fontId="6" numFmtId="0" xfId="0" applyAlignment="1" applyBorder="1" applyFont="1">
      <alignment horizontal="center" vertical="bottom"/>
    </xf>
    <xf borderId="98" fillId="0" fontId="5" numFmtId="0" xfId="0" applyBorder="1" applyFont="1"/>
    <xf borderId="95" fillId="0" fontId="6" numFmtId="0" xfId="0" applyAlignment="1" applyBorder="1" applyFont="1">
      <alignment horizontal="center" vertical="bottom"/>
    </xf>
    <xf borderId="49" fillId="0" fontId="6" numFmtId="0" xfId="0" applyAlignment="1" applyBorder="1" applyFont="1">
      <alignment horizontal="center" vertical="bottom"/>
    </xf>
    <xf borderId="96" fillId="0" fontId="6" numFmtId="0" xfId="0" applyAlignment="1" applyBorder="1" applyFont="1">
      <alignment horizontal="center" vertical="bottom"/>
    </xf>
    <xf borderId="12" fillId="2" fontId="21" numFmtId="0" xfId="0" applyAlignment="1" applyBorder="1" applyFont="1">
      <alignment horizontal="center" vertical="center"/>
    </xf>
    <xf borderId="0" fillId="2" fontId="31" numFmtId="0" xfId="0" applyAlignment="1" applyFont="1">
      <alignment horizontal="center" vertical="center"/>
    </xf>
    <xf borderId="0" fillId="2" fontId="31" numFmtId="0" xfId="0" applyAlignment="1" applyFont="1">
      <alignment horizontal="center" readingOrder="0" vertical="center"/>
    </xf>
    <xf borderId="94" fillId="2" fontId="21" numFmtId="0" xfId="0" applyAlignment="1" applyBorder="1" applyFont="1">
      <alignment horizontal="center" vertical="center"/>
    </xf>
    <xf borderId="0" fillId="2" fontId="21" numFmtId="0" xfId="0" applyAlignment="1" applyFont="1">
      <alignment horizontal="center" readingOrder="0" vertical="center"/>
    </xf>
    <xf borderId="12" fillId="2" fontId="21" numFmtId="171" xfId="0" applyAlignment="1" applyBorder="1" applyFont="1" applyNumberFormat="1">
      <alignment horizontal="center" vertical="center"/>
    </xf>
    <xf borderId="0" fillId="2" fontId="21" numFmtId="0" xfId="0" applyAlignment="1" applyFont="1">
      <alignment horizontal="center" vertical="center"/>
    </xf>
    <xf borderId="0" fillId="2" fontId="6" numFmtId="0" xfId="0" applyAlignment="1" applyFont="1">
      <alignment horizontal="center" shrinkToFit="0" vertical="center" wrapText="1"/>
    </xf>
    <xf borderId="45" fillId="2" fontId="6" numFmtId="0" xfId="0" applyAlignment="1" applyBorder="1" applyFont="1">
      <alignment vertical="bottom"/>
    </xf>
    <xf borderId="46" fillId="2" fontId="6" numFmtId="0" xfId="0" applyAlignment="1" applyBorder="1" applyFont="1">
      <alignment vertical="bottom"/>
    </xf>
    <xf borderId="99" fillId="15" fontId="6" numFmtId="0" xfId="0" applyAlignment="1" applyBorder="1" applyFont="1">
      <alignment vertical="bottom"/>
    </xf>
    <xf borderId="100" fillId="15" fontId="6" numFmtId="0" xfId="0" applyAlignment="1" applyBorder="1" applyFont="1">
      <alignment horizontal="right" vertical="bottom"/>
    </xf>
    <xf borderId="45" fillId="0" fontId="6" numFmtId="0" xfId="0" applyAlignment="1" applyBorder="1" applyFont="1">
      <alignment vertical="bottom"/>
    </xf>
    <xf borderId="46" fillId="0" fontId="6" numFmtId="0" xfId="0" applyAlignment="1" applyBorder="1" applyFont="1">
      <alignment vertical="bottom"/>
    </xf>
    <xf borderId="93" fillId="30" fontId="6" numFmtId="0" xfId="0" applyAlignment="1" applyBorder="1" applyFont="1">
      <alignment horizontal="center" readingOrder="0" vertical="center"/>
    </xf>
    <xf borderId="12" fillId="2" fontId="31" numFmtId="167" xfId="0" applyAlignment="1" applyBorder="1" applyFont="1" applyNumberFormat="1">
      <alignment horizontal="center" vertical="center"/>
    </xf>
    <xf borderId="94" fillId="2" fontId="31" numFmtId="0" xfId="0" applyAlignment="1" applyBorder="1" applyFont="1">
      <alignment horizontal="center" vertical="center"/>
    </xf>
    <xf borderId="12" fillId="2" fontId="31" numFmtId="171" xfId="0" applyAlignment="1" applyBorder="1" applyFont="1" applyNumberFormat="1">
      <alignment horizontal="center" vertical="center"/>
    </xf>
    <xf borderId="12" fillId="2" fontId="31" numFmtId="0" xfId="0" applyAlignment="1" applyBorder="1" applyFont="1">
      <alignment horizontal="center" vertical="center"/>
    </xf>
    <xf borderId="93" fillId="30" fontId="6" numFmtId="0" xfId="0" applyAlignment="1" applyBorder="1" applyFont="1">
      <alignment horizontal="right"/>
    </xf>
    <xf borderId="89" fillId="30" fontId="6" numFmtId="0" xfId="0" applyAlignment="1" applyBorder="1" applyFont="1">
      <alignment horizontal="right"/>
    </xf>
    <xf borderId="95" fillId="2" fontId="6" numFmtId="0" xfId="0" applyAlignment="1" applyBorder="1" applyFont="1">
      <alignment horizontal="center" vertical="bottom"/>
    </xf>
    <xf borderId="49" fillId="2" fontId="6" numFmtId="0" xfId="0" applyAlignment="1" applyBorder="1" applyFont="1">
      <alignment horizontal="center" vertical="bottom"/>
    </xf>
    <xf borderId="96" fillId="2" fontId="6" numFmtId="0" xfId="0" applyAlignment="1" applyBorder="1" applyFont="1">
      <alignment horizontal="center" vertical="bottom"/>
    </xf>
    <xf borderId="12" fillId="30" fontId="6" numFmtId="0" xfId="0" applyAlignment="1" applyBorder="1" applyFont="1">
      <alignment horizontal="center" vertical="center"/>
    </xf>
    <xf borderId="12" fillId="2" fontId="21" numFmtId="176" xfId="0" applyAlignment="1" applyBorder="1" applyFont="1" applyNumberFormat="1">
      <alignment horizontal="center" vertical="center"/>
    </xf>
    <xf borderId="12" fillId="2" fontId="21" numFmtId="177" xfId="0" applyAlignment="1" applyBorder="1" applyFont="1" applyNumberFormat="1">
      <alignment horizontal="center" vertical="center"/>
    </xf>
    <xf borderId="94" fillId="2" fontId="21" numFmtId="0" xfId="0" applyAlignment="1" applyBorder="1" applyFont="1">
      <alignment horizontal="center" readingOrder="0" vertical="center"/>
    </xf>
    <xf borderId="94" fillId="2" fontId="45" numFmtId="0" xfId="0" applyAlignment="1" applyBorder="1" applyFont="1">
      <alignment horizontal="center" readingOrder="0" vertical="center"/>
    </xf>
    <xf borderId="4" fillId="44" fontId="46" numFmtId="0" xfId="0" applyAlignment="1" applyBorder="1" applyFill="1" applyFont="1">
      <alignment horizontal="center" vertical="center"/>
    </xf>
    <xf borderId="21" fillId="33" fontId="31" numFmtId="0" xfId="0" applyAlignment="1" applyBorder="1" applyFont="1">
      <alignment horizontal="center" vertical="center"/>
    </xf>
    <xf borderId="21" fillId="45" fontId="31" numFmtId="0" xfId="0" applyAlignment="1" applyBorder="1" applyFill="1" applyFont="1">
      <alignment horizontal="center" vertical="center"/>
    </xf>
    <xf borderId="21" fillId="45" fontId="31" numFmtId="0" xfId="0" applyAlignment="1" applyBorder="1" applyFont="1">
      <alignment horizontal="center" shrinkToFit="0" vertical="center" wrapText="1"/>
    </xf>
    <xf borderId="21" fillId="45" fontId="31" numFmtId="0" xfId="0" applyAlignment="1" applyBorder="1" applyFont="1">
      <alignment horizontal="center" readingOrder="0" vertical="center"/>
    </xf>
    <xf borderId="21" fillId="12" fontId="31" numFmtId="0" xfId="0" applyAlignment="1" applyBorder="1" applyFont="1">
      <alignment horizontal="center" vertical="center"/>
    </xf>
    <xf borderId="21" fillId="36" fontId="31" numFmtId="0" xfId="0" applyAlignment="1" applyBorder="1" applyFont="1">
      <alignment horizontal="center" vertical="center"/>
    </xf>
    <xf borderId="21" fillId="46" fontId="31" numFmtId="0" xfId="0" applyAlignment="1" applyBorder="1" applyFill="1" applyFon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MONEY!$M$187:$M$191</c:f>
            </c:strRef>
          </c:cat>
          <c:val>
            <c:numRef>
              <c:f>MONEY!$N$187:$N$191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Pt>
            <c:idx val="11"/>
            <c:spPr>
              <a:solidFill>
                <a:srgbClr val="F9B67E"/>
              </a:solidFill>
            </c:spPr>
          </c:dPt>
          <c:dLbls>
            <c:showLegendKey val="0"/>
            <c:showVal val="0"/>
            <c:showCatName val="0"/>
            <c:showSerName val="0"/>
            <c:showPercent val="0"/>
            <c:showBubbleSize val="0"/>
            <c:showLeaderLines val="1"/>
          </c:dLbls>
          <c:cat>
            <c:strRef>
              <c:f>MONEY!$C$204:$C$215</c:f>
            </c:strRef>
          </c:cat>
          <c:val>
            <c:numRef>
              <c:f>MONEY!$D$204:$D$215</c:f>
              <c:numCache/>
            </c:numRef>
          </c:val>
        </c:ser>
        <c:dLbls>
          <c:showLegendKey val="0"/>
          <c:showVal val="0"/>
          <c:showCatName val="0"/>
          <c:showSerName val="0"/>
          <c:showPercent val="0"/>
          <c:showBubbleSize val="0"/>
        </c:dLbls>
        <c:firstSliceAng val="0"/>
      </c:pieChart>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1247775</xdr:colOff>
      <xdr:row>192</xdr:row>
      <xdr:rowOff>38100</xdr:rowOff>
    </xdr:from>
    <xdr:ext cx="3733800" cy="1695450"/>
    <xdr:graphicFrame>
      <xdr:nvGraphicFramePr>
        <xdr:cNvPr id="760808958"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1104900</xdr:colOff>
      <xdr:row>216</xdr:row>
      <xdr:rowOff>180975</xdr:rowOff>
    </xdr:from>
    <xdr:ext cx="4038600" cy="2095500"/>
    <xdr:graphicFrame>
      <xdr:nvGraphicFramePr>
        <xdr:cNvPr id="1185596525"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57"/>
    <col customWidth="1" min="2" max="2" width="3.43"/>
    <col customWidth="1" min="3" max="3" width="12.43"/>
    <col customWidth="1" min="4" max="4" width="14.0"/>
    <col customWidth="1" min="5" max="5" width="18.0"/>
    <col customWidth="1" min="6" max="6" width="15.0"/>
    <col customWidth="1" min="7" max="11" width="14.0"/>
    <col customWidth="1" min="12" max="12" width="16.14"/>
    <col customWidth="1" min="13" max="33" width="14.0"/>
    <col customWidth="1" min="40" max="40" width="12.86"/>
    <col customWidth="1" min="41" max="42" width="12.43"/>
    <col customWidth="1" min="43" max="44" width="14.86"/>
    <col customWidth="1" min="45" max="45" width="15.14"/>
    <col customWidth="1" min="46" max="46" width="17.57"/>
    <col customWidth="1" min="47" max="47" width="16.71"/>
    <col customWidth="1" min="48" max="48" width="18.14"/>
    <col customWidth="1" min="49" max="49" width="15.14"/>
  </cols>
  <sheetData>
    <row r="1" ht="14.25" customHeight="1">
      <c r="A1" s="1" t="s">
        <v>0</v>
      </c>
      <c r="B1" s="2"/>
      <c r="C1" s="2"/>
      <c r="D1" s="2"/>
      <c r="E1" s="2"/>
      <c r="F1" s="2"/>
      <c r="G1" s="2"/>
      <c r="H1" s="2"/>
      <c r="I1" s="2"/>
      <c r="J1" s="2"/>
      <c r="K1" s="2"/>
      <c r="L1" s="2"/>
      <c r="M1" s="2"/>
      <c r="N1" s="2"/>
      <c r="O1" s="2"/>
      <c r="P1" s="2"/>
      <c r="Q1" s="2"/>
      <c r="R1" s="2"/>
      <c r="S1" s="3"/>
      <c r="T1" s="3"/>
      <c r="U1" s="3"/>
      <c r="V1" s="3"/>
      <c r="W1" s="3"/>
      <c r="X1" s="3"/>
      <c r="Y1" s="3"/>
      <c r="Z1" s="3"/>
      <c r="AA1" s="3"/>
      <c r="AB1" s="4"/>
      <c r="AC1" s="4"/>
      <c r="AD1" s="4"/>
      <c r="AE1" s="4"/>
      <c r="AF1" s="4"/>
      <c r="AG1" s="4"/>
      <c r="AH1" s="5"/>
      <c r="AI1" s="5"/>
      <c r="AJ1" s="5"/>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row>
    <row r="2" ht="14.25" customHeight="1">
      <c r="A2" s="7"/>
      <c r="B2" s="8" t="s">
        <v>1</v>
      </c>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10"/>
      <c r="BF2" s="11"/>
      <c r="BG2" s="11"/>
      <c r="BH2" s="11"/>
      <c r="BI2" s="11"/>
      <c r="BJ2" s="11"/>
      <c r="BK2" s="12"/>
      <c r="BL2" s="13"/>
      <c r="BM2" s="13"/>
      <c r="BN2" s="13"/>
      <c r="BO2" s="13"/>
      <c r="BP2" s="13"/>
      <c r="BQ2" s="13"/>
      <c r="BR2" s="13"/>
      <c r="BS2" s="13"/>
      <c r="BT2" s="13"/>
      <c r="BU2" s="13"/>
      <c r="BV2" s="13"/>
      <c r="BW2" s="13"/>
      <c r="BX2" s="13"/>
      <c r="BY2" s="13"/>
    </row>
    <row r="3" ht="14.25" customHeight="1">
      <c r="A3" s="7"/>
      <c r="B3" s="14"/>
      <c r="BE3" s="15"/>
      <c r="BF3" s="11"/>
      <c r="BG3" s="11"/>
      <c r="BH3" s="11"/>
      <c r="BI3" s="11"/>
      <c r="BJ3" s="11"/>
      <c r="BK3" s="16"/>
      <c r="BL3" s="16"/>
      <c r="BM3" s="16"/>
      <c r="BN3" s="16"/>
      <c r="BO3" s="16"/>
      <c r="BP3" s="16"/>
      <c r="BQ3" s="16"/>
      <c r="BR3" s="16"/>
      <c r="BS3" s="16"/>
      <c r="BT3" s="16"/>
      <c r="BU3" s="16"/>
      <c r="BV3" s="16"/>
      <c r="BW3" s="16"/>
      <c r="BX3" s="16"/>
      <c r="BY3" s="16"/>
    </row>
    <row r="4" ht="15.0" customHeight="1">
      <c r="A4" s="7"/>
      <c r="B4" s="17"/>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9"/>
      <c r="BF4" s="11"/>
      <c r="BG4" s="11"/>
      <c r="BH4" s="11"/>
      <c r="BI4" s="11"/>
      <c r="BJ4" s="11"/>
      <c r="BK4" s="16"/>
      <c r="BL4" s="16"/>
      <c r="BM4" s="16"/>
      <c r="BN4" s="16"/>
      <c r="BO4" s="16"/>
      <c r="BP4" s="16"/>
      <c r="BQ4" s="16"/>
      <c r="BR4" s="16"/>
      <c r="BS4" s="16"/>
      <c r="BT4" s="16"/>
      <c r="BU4" s="16"/>
      <c r="BV4" s="16"/>
      <c r="BW4" s="16"/>
      <c r="BX4" s="16"/>
      <c r="BY4" s="16"/>
    </row>
    <row r="5" ht="14.25" customHeight="1">
      <c r="A5" s="7"/>
      <c r="B5" s="20" t="s">
        <v>2</v>
      </c>
      <c r="C5" s="21"/>
      <c r="D5" s="22" t="s">
        <v>3</v>
      </c>
      <c r="E5" s="18"/>
      <c r="F5" s="23"/>
      <c r="G5" s="22" t="s">
        <v>4</v>
      </c>
      <c r="H5" s="18"/>
      <c r="I5" s="23"/>
      <c r="J5" s="22" t="s">
        <v>5</v>
      </c>
      <c r="K5" s="18"/>
      <c r="L5" s="23"/>
      <c r="M5" s="22" t="s">
        <v>6</v>
      </c>
      <c r="N5" s="18"/>
      <c r="O5" s="23"/>
      <c r="P5" s="22" t="s">
        <v>7</v>
      </c>
      <c r="Q5" s="18"/>
      <c r="R5" s="23"/>
      <c r="S5" s="22" t="s">
        <v>8</v>
      </c>
      <c r="T5" s="18"/>
      <c r="U5" s="23"/>
      <c r="V5" s="22" t="s">
        <v>9</v>
      </c>
      <c r="W5" s="18"/>
      <c r="X5" s="23"/>
      <c r="Y5" s="22" t="s">
        <v>10</v>
      </c>
      <c r="Z5" s="18"/>
      <c r="AA5" s="23"/>
      <c r="AB5" s="22" t="s">
        <v>11</v>
      </c>
      <c r="AC5" s="18"/>
      <c r="AD5" s="23"/>
      <c r="AE5" s="22" t="s">
        <v>12</v>
      </c>
      <c r="AF5" s="18"/>
      <c r="AG5" s="23"/>
      <c r="AH5" s="22" t="s">
        <v>13</v>
      </c>
      <c r="AI5" s="18"/>
      <c r="AJ5" s="23"/>
      <c r="AK5" s="22" t="s">
        <v>14</v>
      </c>
      <c r="AL5" s="18"/>
      <c r="AM5" s="23"/>
      <c r="AN5" s="22" t="s">
        <v>15</v>
      </c>
      <c r="AO5" s="18"/>
      <c r="AP5" s="23"/>
      <c r="AQ5" s="22" t="s">
        <v>16</v>
      </c>
      <c r="AR5" s="18"/>
      <c r="AS5" s="23"/>
      <c r="AT5" s="22" t="s">
        <v>17</v>
      </c>
      <c r="AU5" s="18"/>
      <c r="AV5" s="23"/>
      <c r="AW5" s="22" t="s">
        <v>18</v>
      </c>
      <c r="AX5" s="18"/>
      <c r="AY5" s="23"/>
      <c r="AZ5" s="22" t="s">
        <v>19</v>
      </c>
      <c r="BA5" s="18"/>
      <c r="BB5" s="23"/>
      <c r="BC5" s="24" t="s">
        <v>20</v>
      </c>
      <c r="BD5" s="18"/>
      <c r="BE5" s="23"/>
      <c r="BF5" s="25"/>
      <c r="BG5" s="25"/>
      <c r="BH5" s="25"/>
      <c r="BK5" s="16"/>
      <c r="BL5" s="16"/>
      <c r="BM5" s="16"/>
      <c r="BN5" s="16"/>
      <c r="BO5" s="16"/>
      <c r="BP5" s="16"/>
      <c r="BQ5" s="16"/>
      <c r="BR5" s="16"/>
      <c r="BS5" s="16"/>
      <c r="BT5" s="16"/>
      <c r="BU5" s="16"/>
      <c r="BV5" s="16"/>
      <c r="BW5" s="16"/>
      <c r="BX5" s="16"/>
      <c r="BY5" s="16"/>
    </row>
    <row r="6" ht="14.25" customHeight="1">
      <c r="A6" s="7"/>
      <c r="B6" s="26"/>
      <c r="C6" s="23"/>
      <c r="D6" s="27" t="s">
        <v>21</v>
      </c>
      <c r="E6" s="28" t="s">
        <v>22</v>
      </c>
      <c r="F6" s="29" t="s">
        <v>23</v>
      </c>
      <c r="G6" s="30" t="s">
        <v>21</v>
      </c>
      <c r="H6" s="31" t="s">
        <v>22</v>
      </c>
      <c r="I6" s="32" t="s">
        <v>23</v>
      </c>
      <c r="J6" s="27" t="s">
        <v>21</v>
      </c>
      <c r="K6" s="28" t="s">
        <v>22</v>
      </c>
      <c r="L6" s="29" t="s">
        <v>23</v>
      </c>
      <c r="M6" s="30" t="s">
        <v>21</v>
      </c>
      <c r="N6" s="31" t="s">
        <v>22</v>
      </c>
      <c r="O6" s="32" t="s">
        <v>23</v>
      </c>
      <c r="P6" s="27" t="s">
        <v>21</v>
      </c>
      <c r="Q6" s="28" t="s">
        <v>22</v>
      </c>
      <c r="R6" s="29" t="s">
        <v>23</v>
      </c>
      <c r="S6" s="33" t="s">
        <v>21</v>
      </c>
      <c r="T6" s="28" t="s">
        <v>22</v>
      </c>
      <c r="U6" s="29" t="s">
        <v>23</v>
      </c>
      <c r="V6" s="30" t="s">
        <v>21</v>
      </c>
      <c r="W6" s="31" t="s">
        <v>22</v>
      </c>
      <c r="X6" s="32" t="s">
        <v>23</v>
      </c>
      <c r="Y6" s="27" t="s">
        <v>21</v>
      </c>
      <c r="Z6" s="28" t="s">
        <v>22</v>
      </c>
      <c r="AA6" s="29" t="s">
        <v>23</v>
      </c>
      <c r="AB6" s="30" t="s">
        <v>21</v>
      </c>
      <c r="AC6" s="31" t="s">
        <v>22</v>
      </c>
      <c r="AD6" s="32" t="s">
        <v>23</v>
      </c>
      <c r="AE6" s="27" t="s">
        <v>21</v>
      </c>
      <c r="AF6" s="28" t="s">
        <v>22</v>
      </c>
      <c r="AG6" s="29" t="s">
        <v>23</v>
      </c>
      <c r="AH6" s="27" t="s">
        <v>21</v>
      </c>
      <c r="AI6" s="28" t="s">
        <v>22</v>
      </c>
      <c r="AJ6" s="34" t="s">
        <v>23</v>
      </c>
      <c r="AK6" s="27" t="s">
        <v>21</v>
      </c>
      <c r="AL6" s="28" t="s">
        <v>22</v>
      </c>
      <c r="AM6" s="34" t="s">
        <v>23</v>
      </c>
      <c r="AN6" s="27" t="s">
        <v>21</v>
      </c>
      <c r="AO6" s="28" t="s">
        <v>22</v>
      </c>
      <c r="AP6" s="34" t="s">
        <v>23</v>
      </c>
      <c r="AQ6" s="27" t="s">
        <v>21</v>
      </c>
      <c r="AR6" s="28" t="s">
        <v>22</v>
      </c>
      <c r="AS6" s="34" t="s">
        <v>23</v>
      </c>
      <c r="AT6" s="27" t="s">
        <v>21</v>
      </c>
      <c r="AU6" s="28" t="s">
        <v>22</v>
      </c>
      <c r="AV6" s="34" t="s">
        <v>23</v>
      </c>
      <c r="AW6" s="27" t="s">
        <v>21</v>
      </c>
      <c r="AX6" s="28" t="s">
        <v>22</v>
      </c>
      <c r="AY6" s="34" t="s">
        <v>23</v>
      </c>
      <c r="AZ6" s="27" t="s">
        <v>21</v>
      </c>
      <c r="BA6" s="28" t="s">
        <v>22</v>
      </c>
      <c r="BB6" s="34" t="s">
        <v>23</v>
      </c>
      <c r="BC6" s="27" t="s">
        <v>21</v>
      </c>
      <c r="BD6" s="28" t="s">
        <v>22</v>
      </c>
      <c r="BE6" s="34" t="s">
        <v>23</v>
      </c>
      <c r="BF6" s="35"/>
      <c r="BG6" s="36" t="s">
        <v>24</v>
      </c>
      <c r="BH6" s="37" t="s">
        <v>25</v>
      </c>
      <c r="BI6" s="37" t="s">
        <v>26</v>
      </c>
      <c r="BJ6" s="38" t="s">
        <v>27</v>
      </c>
      <c r="BK6" s="39"/>
      <c r="BR6" s="16"/>
      <c r="BS6" s="16"/>
      <c r="BT6" s="16"/>
      <c r="BU6" s="16"/>
      <c r="BV6" s="16"/>
      <c r="BW6" s="16"/>
      <c r="BX6" s="16"/>
      <c r="BY6" s="16"/>
    </row>
    <row r="7" ht="14.25" customHeight="1">
      <c r="A7" s="7"/>
      <c r="B7" s="40"/>
      <c r="C7" s="41"/>
      <c r="D7" s="42"/>
      <c r="E7" s="43">
        <v>481.0</v>
      </c>
      <c r="F7" s="44"/>
      <c r="G7" s="45">
        <v>6.0</v>
      </c>
      <c r="H7" s="46">
        <v>200.0</v>
      </c>
      <c r="I7" s="47"/>
      <c r="J7" s="42"/>
      <c r="K7" s="48"/>
      <c r="L7" s="49"/>
      <c r="M7" s="50"/>
      <c r="N7" s="46">
        <v>815.0</v>
      </c>
      <c r="O7" s="51"/>
      <c r="P7" s="52">
        <v>50.0</v>
      </c>
      <c r="Q7" s="43">
        <v>15.0</v>
      </c>
      <c r="R7" s="53" t="s">
        <v>28</v>
      </c>
      <c r="S7" s="52">
        <v>2.0</v>
      </c>
      <c r="T7" s="43"/>
      <c r="U7" s="49"/>
      <c r="V7" s="50"/>
      <c r="W7" s="54"/>
      <c r="X7" s="51"/>
      <c r="Y7" s="42"/>
      <c r="Z7" s="43">
        <v>102.0</v>
      </c>
      <c r="AA7" s="44"/>
      <c r="AB7" s="50"/>
      <c r="AC7" s="54">
        <v>982.0</v>
      </c>
      <c r="AD7" s="51"/>
      <c r="AE7" s="52"/>
      <c r="AF7" s="48">
        <v>0.0</v>
      </c>
      <c r="AG7" s="44"/>
      <c r="AH7" s="42"/>
      <c r="AI7" s="48">
        <v>0.0</v>
      </c>
      <c r="AJ7" s="44"/>
      <c r="AK7" s="42"/>
      <c r="AL7" s="48"/>
      <c r="AM7" s="44"/>
      <c r="AN7" s="42"/>
      <c r="AO7" s="48"/>
      <c r="AP7" s="44"/>
      <c r="AQ7" s="42"/>
      <c r="AR7" s="43">
        <v>60.0</v>
      </c>
      <c r="AS7" s="44"/>
      <c r="AT7" s="52">
        <v>1100.0</v>
      </c>
      <c r="AU7" s="48">
        <v>0.0</v>
      </c>
      <c r="AV7" s="44"/>
      <c r="AW7" s="42"/>
      <c r="AX7" s="43">
        <v>20.0</v>
      </c>
      <c r="AY7" s="44"/>
      <c r="AZ7" s="42"/>
      <c r="BA7" s="48">
        <v>0.0</v>
      </c>
      <c r="BB7" s="44"/>
      <c r="BC7" s="42"/>
      <c r="BD7" s="48">
        <v>0.0</v>
      </c>
      <c r="BE7" s="44"/>
      <c r="BF7" s="55"/>
      <c r="BG7" s="56">
        <v>46057.0</v>
      </c>
      <c r="BH7" s="57">
        <v>40.0</v>
      </c>
      <c r="BI7" s="57" t="s">
        <v>29</v>
      </c>
      <c r="BJ7" s="58"/>
      <c r="BK7" s="39"/>
      <c r="BR7" s="16"/>
      <c r="BS7" s="16"/>
      <c r="BT7" s="16"/>
      <c r="BU7" s="16"/>
      <c r="BV7" s="16"/>
      <c r="BW7" s="16"/>
      <c r="BX7" s="16"/>
      <c r="BY7" s="16"/>
    </row>
    <row r="8" ht="14.25" customHeight="1">
      <c r="A8" s="7"/>
      <c r="B8" s="40"/>
      <c r="C8" s="59">
        <v>46055.0</v>
      </c>
      <c r="D8" s="60"/>
      <c r="E8" s="60"/>
      <c r="F8" s="60"/>
      <c r="G8" s="60"/>
      <c r="H8" s="60"/>
      <c r="I8" s="61"/>
      <c r="J8" s="60"/>
      <c r="K8" s="60"/>
      <c r="L8" s="62"/>
      <c r="M8" s="60"/>
      <c r="N8" s="60"/>
      <c r="O8" s="63"/>
      <c r="P8" s="60"/>
      <c r="Q8" s="64">
        <v>10.0</v>
      </c>
      <c r="R8" s="60"/>
      <c r="S8" s="60"/>
      <c r="T8" s="60"/>
      <c r="U8" s="63"/>
      <c r="V8" s="60"/>
      <c r="W8" s="64">
        <v>10.0</v>
      </c>
      <c r="X8" s="63"/>
      <c r="Y8" s="60"/>
      <c r="Z8" s="60"/>
      <c r="AA8" s="60"/>
      <c r="AB8" s="60"/>
      <c r="AC8" s="60"/>
      <c r="AD8" s="63"/>
      <c r="AE8" s="60"/>
      <c r="AF8" s="60"/>
      <c r="AG8" s="60"/>
      <c r="AH8" s="60"/>
      <c r="AI8" s="60"/>
      <c r="AJ8" s="60"/>
      <c r="AK8" s="61"/>
      <c r="AL8" s="65"/>
      <c r="AM8" s="66"/>
      <c r="AN8" s="61"/>
      <c r="AO8" s="65"/>
      <c r="AP8" s="66"/>
      <c r="AQ8" s="61"/>
      <c r="AR8" s="65"/>
      <c r="AS8" s="66"/>
      <c r="AT8" s="61"/>
      <c r="AU8" s="65"/>
      <c r="AV8" s="66"/>
      <c r="AW8" s="61"/>
      <c r="AX8" s="65"/>
      <c r="AY8" s="66"/>
      <c r="AZ8" s="61"/>
      <c r="BA8" s="65"/>
      <c r="BB8" s="66"/>
      <c r="BC8" s="61"/>
      <c r="BD8" s="65"/>
      <c r="BE8" s="66"/>
      <c r="BF8" s="55"/>
      <c r="BG8" s="56">
        <v>46059.0</v>
      </c>
      <c r="BH8" s="57">
        <v>1000.0</v>
      </c>
      <c r="BI8" s="57" t="s">
        <v>29</v>
      </c>
      <c r="BJ8" s="67" t="s">
        <v>30</v>
      </c>
      <c r="BR8" s="16"/>
      <c r="BS8" s="16"/>
      <c r="BT8" s="16"/>
      <c r="BU8" s="16"/>
      <c r="BV8" s="16"/>
      <c r="BW8" s="16"/>
      <c r="BX8" s="16"/>
      <c r="BY8" s="16"/>
    </row>
    <row r="9" ht="12.75" customHeight="1">
      <c r="A9" s="7"/>
      <c r="B9" s="40"/>
      <c r="C9" s="59">
        <v>46056.0</v>
      </c>
      <c r="D9" s="66"/>
      <c r="E9" s="65"/>
      <c r="F9" s="66"/>
      <c r="G9" s="66"/>
      <c r="H9" s="65"/>
      <c r="I9" s="66"/>
      <c r="J9" s="61"/>
      <c r="K9" s="60"/>
      <c r="L9" s="60"/>
      <c r="M9" s="61"/>
      <c r="N9" s="65"/>
      <c r="O9" s="60"/>
      <c r="P9" s="65"/>
      <c r="Q9" s="65"/>
      <c r="R9" s="65"/>
      <c r="S9" s="68"/>
      <c r="T9" s="65"/>
      <c r="U9" s="68"/>
      <c r="V9" s="69">
        <v>20.0</v>
      </c>
      <c r="W9" s="60"/>
      <c r="X9" s="68"/>
      <c r="Y9" s="68"/>
      <c r="Z9" s="65"/>
      <c r="AA9" s="68"/>
      <c r="AB9" s="65"/>
      <c r="AC9" s="65"/>
      <c r="AD9" s="68"/>
      <c r="AE9" s="68"/>
      <c r="AF9" s="68"/>
      <c r="AG9" s="68"/>
      <c r="AH9" s="68"/>
      <c r="AI9" s="68"/>
      <c r="AJ9" s="68"/>
      <c r="AK9" s="60"/>
      <c r="AL9" s="60"/>
      <c r="AM9" s="60"/>
      <c r="AN9" s="60"/>
      <c r="AO9" s="64">
        <v>100.0</v>
      </c>
      <c r="AP9" s="60"/>
      <c r="AQ9" s="60"/>
      <c r="AR9" s="60"/>
      <c r="AS9" s="60"/>
      <c r="AT9" s="60"/>
      <c r="AU9" s="60"/>
      <c r="AV9" s="60"/>
      <c r="AW9" s="60"/>
      <c r="AX9" s="60"/>
      <c r="AY9" s="60"/>
      <c r="AZ9" s="60"/>
      <c r="BA9" s="60"/>
      <c r="BB9" s="60"/>
      <c r="BC9" s="60"/>
      <c r="BD9" s="60"/>
      <c r="BE9" s="60"/>
      <c r="BF9" s="55"/>
      <c r="BG9" s="56">
        <v>46060.0</v>
      </c>
      <c r="BH9" s="57">
        <v>600.0</v>
      </c>
      <c r="BI9" s="57" t="s">
        <v>29</v>
      </c>
      <c r="BJ9" s="58"/>
      <c r="BR9" s="16"/>
      <c r="BS9" s="16"/>
      <c r="BT9" s="16"/>
      <c r="BU9" s="16"/>
      <c r="BV9" s="16"/>
      <c r="BW9" s="16"/>
      <c r="BX9" s="16"/>
      <c r="BY9" s="16"/>
    </row>
    <row r="10" ht="14.25" customHeight="1">
      <c r="A10" s="7"/>
      <c r="B10" s="40"/>
      <c r="C10" s="70">
        <v>46057.0</v>
      </c>
      <c r="D10" s="60"/>
      <c r="E10" s="60"/>
      <c r="F10" s="60"/>
      <c r="G10" s="60"/>
      <c r="H10" s="60"/>
      <c r="I10" s="60"/>
      <c r="J10" s="60"/>
      <c r="K10" s="60"/>
      <c r="L10" s="63"/>
      <c r="M10" s="60"/>
      <c r="N10" s="60"/>
      <c r="O10" s="63"/>
      <c r="P10" s="60"/>
      <c r="Q10" s="60"/>
      <c r="R10" s="60"/>
      <c r="S10" s="60"/>
      <c r="T10" s="64">
        <v>25.0</v>
      </c>
      <c r="U10" s="60"/>
      <c r="V10" s="60"/>
      <c r="W10" s="60"/>
      <c r="X10" s="63"/>
      <c r="Y10" s="60"/>
      <c r="Z10" s="60"/>
      <c r="AA10" s="60"/>
      <c r="AB10" s="60"/>
      <c r="AC10" s="60"/>
      <c r="AD10" s="60"/>
      <c r="AE10" s="60"/>
      <c r="AF10" s="60"/>
      <c r="AG10" s="60"/>
      <c r="AH10" s="60"/>
      <c r="AI10" s="60"/>
      <c r="AJ10" s="60"/>
      <c r="AK10" s="60"/>
      <c r="AL10" s="60"/>
      <c r="AM10" s="60"/>
      <c r="AN10" s="60"/>
      <c r="AO10" s="60"/>
      <c r="AP10" s="60"/>
      <c r="AQ10" s="60"/>
      <c r="AR10" s="60"/>
      <c r="AS10" s="60"/>
      <c r="AT10" s="60"/>
      <c r="AU10" s="64"/>
      <c r="AV10" s="64"/>
      <c r="AW10" s="60"/>
      <c r="AX10" s="64">
        <v>80.0</v>
      </c>
      <c r="AY10" s="60"/>
      <c r="AZ10" s="60"/>
      <c r="BA10" s="60"/>
      <c r="BB10" s="60"/>
      <c r="BC10" s="60"/>
      <c r="BD10" s="60"/>
      <c r="BE10" s="60"/>
      <c r="BF10" s="55"/>
      <c r="BG10" s="56">
        <v>46062.0</v>
      </c>
      <c r="BH10" s="57">
        <v>150.0</v>
      </c>
      <c r="BI10" s="57" t="s">
        <v>29</v>
      </c>
      <c r="BJ10" s="67" t="s">
        <v>31</v>
      </c>
      <c r="BR10" s="16"/>
      <c r="BS10" s="16"/>
      <c r="BT10" s="16"/>
      <c r="BU10" s="16"/>
      <c r="BV10" s="16"/>
      <c r="BW10" s="16"/>
      <c r="BX10" s="16"/>
      <c r="BY10" s="16"/>
    </row>
    <row r="11" ht="14.25" customHeight="1">
      <c r="A11" s="7"/>
      <c r="B11" s="71"/>
      <c r="C11" s="59">
        <v>46058.0</v>
      </c>
      <c r="D11" s="65"/>
      <c r="E11" s="65"/>
      <c r="F11" s="66"/>
      <c r="G11" s="61"/>
      <c r="H11" s="60"/>
      <c r="I11" s="61"/>
      <c r="J11" s="65"/>
      <c r="K11" s="65"/>
      <c r="L11" s="61"/>
      <c r="M11" s="66"/>
      <c r="N11" s="65"/>
      <c r="O11" s="66"/>
      <c r="P11" s="68"/>
      <c r="Q11" s="65"/>
      <c r="R11" s="68"/>
      <c r="S11" s="65"/>
      <c r="T11" s="69">
        <v>30.0</v>
      </c>
      <c r="U11" s="65"/>
      <c r="V11" s="65"/>
      <c r="W11" s="65"/>
      <c r="X11" s="65"/>
      <c r="Y11" s="65"/>
      <c r="Z11" s="69">
        <v>30.0</v>
      </c>
      <c r="AA11" s="68"/>
      <c r="AB11" s="65"/>
      <c r="AC11" s="69">
        <v>50.0</v>
      </c>
      <c r="AD11" s="65"/>
      <c r="AE11" s="68"/>
      <c r="AF11" s="65"/>
      <c r="AG11" s="68"/>
      <c r="AH11" s="65"/>
      <c r="AI11" s="65"/>
      <c r="AJ11" s="65"/>
      <c r="AK11" s="60"/>
      <c r="AL11" s="60"/>
      <c r="AM11" s="60"/>
      <c r="AN11" s="60"/>
      <c r="AO11" s="60"/>
      <c r="AP11" s="60"/>
      <c r="AQ11" s="64">
        <v>100.0</v>
      </c>
      <c r="AR11" s="60"/>
      <c r="AS11" s="60"/>
      <c r="AT11" s="60"/>
      <c r="AU11" s="60"/>
      <c r="AV11" s="60"/>
      <c r="AW11" s="60"/>
      <c r="AX11" s="60"/>
      <c r="AY11" s="60"/>
      <c r="AZ11" s="60"/>
      <c r="BA11" s="60"/>
      <c r="BB11" s="60"/>
      <c r="BC11" s="60"/>
      <c r="BD11" s="60"/>
      <c r="BE11" s="60"/>
      <c r="BF11" s="55"/>
      <c r="BG11" s="56">
        <v>46062.0</v>
      </c>
      <c r="BH11" s="57">
        <v>10.0</v>
      </c>
      <c r="BI11" s="57" t="s">
        <v>29</v>
      </c>
      <c r="BJ11" s="58"/>
      <c r="BR11" s="16"/>
      <c r="BS11" s="16"/>
      <c r="BT11" s="16"/>
      <c r="BU11" s="16"/>
      <c r="BV11" s="16"/>
      <c r="BW11" s="16"/>
      <c r="BX11" s="16"/>
      <c r="BY11" s="16"/>
    </row>
    <row r="12" ht="14.25" customHeight="1">
      <c r="A12" s="7"/>
      <c r="B12" s="71"/>
      <c r="C12" s="59">
        <v>46059.0</v>
      </c>
      <c r="D12" s="60"/>
      <c r="E12" s="64">
        <v>20.0</v>
      </c>
      <c r="F12" s="60"/>
      <c r="G12" s="60"/>
      <c r="H12" s="60"/>
      <c r="I12" s="72"/>
      <c r="J12" s="60"/>
      <c r="K12" s="60"/>
      <c r="L12" s="60"/>
      <c r="M12" s="60"/>
      <c r="N12" s="60"/>
      <c r="O12" s="60"/>
      <c r="P12" s="60"/>
      <c r="Q12" s="60"/>
      <c r="R12" s="63"/>
      <c r="S12" s="60"/>
      <c r="T12" s="73">
        <v>20.0</v>
      </c>
      <c r="U12" s="63"/>
      <c r="V12" s="60"/>
      <c r="W12" s="60"/>
      <c r="X12" s="63"/>
      <c r="Y12" s="60"/>
      <c r="Z12" s="64">
        <v>10.0</v>
      </c>
      <c r="AA12" s="63"/>
      <c r="AB12" s="60"/>
      <c r="AC12" s="60"/>
      <c r="AD12" s="74"/>
      <c r="AE12" s="60"/>
      <c r="AF12" s="60"/>
      <c r="AG12" s="63"/>
      <c r="AH12" s="60"/>
      <c r="AI12" s="60"/>
      <c r="AJ12" s="60"/>
      <c r="AK12" s="60"/>
      <c r="AL12" s="60"/>
      <c r="AM12" s="60"/>
      <c r="AN12" s="60"/>
      <c r="AO12" s="60"/>
      <c r="AP12" s="60"/>
      <c r="AQ12" s="60"/>
      <c r="AR12" s="64">
        <v>100.0</v>
      </c>
      <c r="AS12" s="60"/>
      <c r="AT12" s="60"/>
      <c r="AU12" s="60"/>
      <c r="AV12" s="60"/>
      <c r="AW12" s="60"/>
      <c r="AX12" s="60"/>
      <c r="AY12" s="60"/>
      <c r="AZ12" s="60"/>
      <c r="BA12" s="60"/>
      <c r="BB12" s="60"/>
      <c r="BC12" s="60"/>
      <c r="BD12" s="60"/>
      <c r="BE12" s="60"/>
      <c r="BF12" s="75"/>
      <c r="BG12" s="76">
        <v>46063.0</v>
      </c>
      <c r="BH12" s="57">
        <v>840.0</v>
      </c>
      <c r="BI12" s="57" t="s">
        <v>29</v>
      </c>
      <c r="BJ12" s="67" t="s">
        <v>32</v>
      </c>
      <c r="BR12" s="16"/>
      <c r="BS12" s="16"/>
      <c r="BT12" s="16"/>
      <c r="BU12" s="16"/>
      <c r="BV12" s="16"/>
      <c r="BW12" s="16"/>
      <c r="BX12" s="16"/>
      <c r="BY12" s="16"/>
    </row>
    <row r="13" ht="13.5" customHeight="1">
      <c r="A13" s="7"/>
      <c r="B13" s="71"/>
      <c r="C13" s="59">
        <v>46060.0</v>
      </c>
      <c r="D13" s="64">
        <v>250.0</v>
      </c>
      <c r="E13" s="64">
        <v>230.0</v>
      </c>
      <c r="F13" s="60"/>
      <c r="G13" s="60"/>
      <c r="H13" s="60"/>
      <c r="I13" s="60"/>
      <c r="J13" s="64">
        <v>100.0</v>
      </c>
      <c r="K13" s="64">
        <v>100.0</v>
      </c>
      <c r="L13" s="63"/>
      <c r="M13" s="64">
        <v>100.0</v>
      </c>
      <c r="N13" s="64">
        <v>100.0</v>
      </c>
      <c r="O13" s="63"/>
      <c r="P13" s="64"/>
      <c r="Q13" s="64">
        <v>50.0</v>
      </c>
      <c r="R13" s="60"/>
      <c r="S13" s="64">
        <v>100.0</v>
      </c>
      <c r="T13" s="64">
        <v>160.0</v>
      </c>
      <c r="U13" s="60"/>
      <c r="V13" s="64">
        <v>100.0</v>
      </c>
      <c r="W13" s="64">
        <v>70.0</v>
      </c>
      <c r="X13" s="63"/>
      <c r="Y13" s="64">
        <v>100.0</v>
      </c>
      <c r="Z13" s="64">
        <v>120.0</v>
      </c>
      <c r="AA13" s="60"/>
      <c r="AB13" s="64">
        <v>100.0</v>
      </c>
      <c r="AC13" s="64">
        <v>100.0</v>
      </c>
      <c r="AD13" s="60"/>
      <c r="AE13" s="64">
        <v>130.0</v>
      </c>
      <c r="AF13" s="64">
        <v>200.0</v>
      </c>
      <c r="AG13" s="60"/>
      <c r="AH13" s="60"/>
      <c r="AI13" s="60"/>
      <c r="AJ13" s="60"/>
      <c r="AK13" s="64">
        <v>250.0</v>
      </c>
      <c r="AL13" s="64">
        <v>250.0</v>
      </c>
      <c r="AM13" s="60"/>
      <c r="AN13" s="64">
        <v>200.0</v>
      </c>
      <c r="AO13" s="64">
        <v>200.0</v>
      </c>
      <c r="AP13" s="60"/>
      <c r="AQ13" s="60"/>
      <c r="AR13" s="60"/>
      <c r="AS13" s="60"/>
      <c r="AT13" s="60"/>
      <c r="AU13" s="60"/>
      <c r="AV13" s="60"/>
      <c r="AW13" s="64">
        <v>80.0</v>
      </c>
      <c r="AX13" s="60"/>
      <c r="AY13" s="60"/>
      <c r="AZ13" s="64">
        <v>200.0</v>
      </c>
      <c r="BA13" s="64">
        <v>200.0</v>
      </c>
      <c r="BB13" s="60"/>
      <c r="BC13" s="64">
        <v>200.0</v>
      </c>
      <c r="BD13" s="64"/>
      <c r="BE13" s="60"/>
      <c r="BF13" s="77"/>
      <c r="BG13" s="78"/>
      <c r="BH13" s="57">
        <v>220.0</v>
      </c>
      <c r="BI13" s="57" t="s">
        <v>29</v>
      </c>
      <c r="BJ13" s="58"/>
      <c r="BR13" s="16"/>
      <c r="BS13" s="16"/>
      <c r="BT13" s="16"/>
      <c r="BU13" s="16"/>
      <c r="BV13" s="16"/>
      <c r="BW13" s="16"/>
      <c r="BX13" s="16"/>
      <c r="BY13" s="16"/>
    </row>
    <row r="14" ht="14.25" customHeight="1">
      <c r="A14" s="7"/>
      <c r="B14" s="71"/>
      <c r="C14" s="59">
        <v>46061.0</v>
      </c>
      <c r="D14" s="79"/>
      <c r="E14" s="80"/>
      <c r="F14" s="81"/>
      <c r="G14" s="81"/>
      <c r="H14" s="80"/>
      <c r="I14" s="81"/>
      <c r="J14" s="82"/>
      <c r="K14" s="83"/>
      <c r="L14" s="82"/>
      <c r="M14" s="81"/>
      <c r="N14" s="81"/>
      <c r="O14" s="81"/>
      <c r="P14" s="79"/>
      <c r="Q14" s="79"/>
      <c r="R14" s="79"/>
      <c r="S14" s="79"/>
      <c r="T14" s="80"/>
      <c r="U14" s="79"/>
      <c r="V14" s="79"/>
      <c r="W14" s="80"/>
      <c r="X14" s="79"/>
      <c r="Y14" s="79"/>
      <c r="Z14" s="83"/>
      <c r="AA14" s="79"/>
      <c r="AB14" s="79"/>
      <c r="AC14" s="83"/>
      <c r="AD14" s="79"/>
      <c r="AE14" s="79"/>
      <c r="AF14" s="79"/>
      <c r="AG14" s="79"/>
      <c r="AH14" s="79"/>
      <c r="AI14" s="79"/>
      <c r="AJ14" s="79"/>
      <c r="AK14" s="83"/>
      <c r="AL14" s="83"/>
      <c r="AM14" s="83"/>
      <c r="AN14" s="83"/>
      <c r="AO14" s="83"/>
      <c r="AP14" s="83"/>
      <c r="AQ14" s="83"/>
      <c r="AR14" s="83"/>
      <c r="AS14" s="83"/>
      <c r="AT14" s="83"/>
      <c r="AU14" s="83"/>
      <c r="AV14" s="83"/>
      <c r="AW14" s="83"/>
      <c r="AX14" s="83"/>
      <c r="AY14" s="83"/>
      <c r="AZ14" s="83"/>
      <c r="BA14" s="83"/>
      <c r="BB14" s="83"/>
      <c r="BC14" s="83"/>
      <c r="BD14" s="84"/>
      <c r="BE14" s="83"/>
      <c r="BF14" s="77"/>
      <c r="BG14" s="78"/>
      <c r="BH14" s="57">
        <v>1000.0</v>
      </c>
      <c r="BI14" s="57" t="s">
        <v>29</v>
      </c>
      <c r="BJ14" s="58"/>
      <c r="BR14" s="16"/>
      <c r="BS14" s="16"/>
      <c r="BT14" s="16"/>
      <c r="BU14" s="16"/>
      <c r="BV14" s="16"/>
      <c r="BW14" s="16"/>
      <c r="BX14" s="16"/>
      <c r="BY14" s="16"/>
    </row>
    <row r="15" ht="17.25" customHeight="1">
      <c r="A15" s="7"/>
      <c r="B15" s="71"/>
      <c r="C15" s="59">
        <v>46062.0</v>
      </c>
      <c r="D15" s="60"/>
      <c r="E15" s="60"/>
      <c r="F15" s="60"/>
      <c r="G15" s="64">
        <v>30.0</v>
      </c>
      <c r="H15" s="60"/>
      <c r="I15" s="85"/>
      <c r="J15" s="60"/>
      <c r="K15" s="60"/>
      <c r="L15" s="63"/>
      <c r="M15" s="60"/>
      <c r="N15" s="60"/>
      <c r="O15" s="60"/>
      <c r="P15" s="60"/>
      <c r="Q15" s="60"/>
      <c r="R15" s="63"/>
      <c r="S15" s="60"/>
      <c r="T15" s="60"/>
      <c r="U15" s="63"/>
      <c r="V15" s="60"/>
      <c r="W15" s="60"/>
      <c r="X15" s="63"/>
      <c r="Y15" s="60"/>
      <c r="Z15" s="60"/>
      <c r="AA15" s="63"/>
      <c r="AB15" s="60"/>
      <c r="AC15" s="60"/>
      <c r="AD15" s="74"/>
      <c r="AE15" s="60"/>
      <c r="AF15" s="60"/>
      <c r="AG15" s="63"/>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75"/>
      <c r="BG15" s="76">
        <v>46067.0</v>
      </c>
      <c r="BH15" s="57">
        <v>400.0</v>
      </c>
      <c r="BI15" s="57" t="s">
        <v>29</v>
      </c>
      <c r="BJ15" s="58"/>
      <c r="BR15" s="86"/>
      <c r="BS15" s="86"/>
      <c r="BT15" s="86"/>
      <c r="BU15" s="86"/>
      <c r="BV15" s="86"/>
      <c r="BW15" s="86"/>
      <c r="BX15" s="86"/>
      <c r="BY15" s="86"/>
    </row>
    <row r="16" ht="14.25" customHeight="1">
      <c r="A16" s="7"/>
      <c r="B16" s="71"/>
      <c r="C16" s="59">
        <v>46063.0</v>
      </c>
      <c r="D16" s="65"/>
      <c r="E16" s="65"/>
      <c r="F16" s="60"/>
      <c r="G16" s="60"/>
      <c r="H16" s="60"/>
      <c r="I16" s="60"/>
      <c r="J16" s="60"/>
      <c r="K16" s="60"/>
      <c r="L16" s="87"/>
      <c r="M16" s="60"/>
      <c r="N16" s="60"/>
      <c r="O16" s="87"/>
      <c r="P16" s="64">
        <v>200.0</v>
      </c>
      <c r="Q16" s="64"/>
      <c r="R16" s="64" t="s">
        <v>33</v>
      </c>
      <c r="S16" s="60"/>
      <c r="T16" s="60"/>
      <c r="U16" s="87"/>
      <c r="V16" s="60"/>
      <c r="W16" s="64">
        <v>1.5</v>
      </c>
      <c r="X16" s="63"/>
      <c r="Y16" s="60"/>
      <c r="Z16" s="60"/>
      <c r="AA16" s="60"/>
      <c r="AB16" s="60"/>
      <c r="AC16" s="60"/>
      <c r="AD16" s="74"/>
      <c r="AE16" s="60"/>
      <c r="AF16" s="60"/>
      <c r="AG16" s="88"/>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89"/>
      <c r="BG16" s="76">
        <v>46067.0</v>
      </c>
      <c r="BH16" s="90">
        <v>150.0</v>
      </c>
      <c r="BI16" s="90" t="s">
        <v>29</v>
      </c>
      <c r="BJ16" s="67" t="s">
        <v>34</v>
      </c>
      <c r="BR16" s="16"/>
      <c r="BS16" s="16"/>
      <c r="BT16" s="16"/>
      <c r="BU16" s="16"/>
      <c r="BV16" s="16"/>
      <c r="BW16" s="16"/>
      <c r="BX16" s="16"/>
      <c r="BY16" s="16"/>
    </row>
    <row r="17" ht="15.0" customHeight="1">
      <c r="A17" s="7"/>
      <c r="B17" s="71"/>
      <c r="C17" s="59">
        <v>46064.0</v>
      </c>
      <c r="D17" s="60"/>
      <c r="E17" s="60"/>
      <c r="F17" s="63"/>
      <c r="G17" s="60"/>
      <c r="H17" s="60"/>
      <c r="I17" s="60"/>
      <c r="J17" s="60"/>
      <c r="K17" s="60"/>
      <c r="L17" s="60"/>
      <c r="M17" s="91"/>
      <c r="N17" s="60"/>
      <c r="O17" s="63"/>
      <c r="P17" s="60"/>
      <c r="Q17" s="64">
        <v>215.0</v>
      </c>
      <c r="R17" s="39"/>
      <c r="S17" s="60"/>
      <c r="T17" s="60"/>
      <c r="U17" s="63"/>
      <c r="V17" s="60"/>
      <c r="W17" s="60"/>
      <c r="X17" s="60"/>
      <c r="Y17" s="60"/>
      <c r="Z17" s="64">
        <v>20.0</v>
      </c>
      <c r="AA17" s="63"/>
      <c r="AB17" s="60"/>
      <c r="AC17" s="60"/>
      <c r="AD17" s="63"/>
      <c r="AE17" s="60"/>
      <c r="AF17" s="64">
        <v>850.0</v>
      </c>
      <c r="AG17" s="60"/>
      <c r="AH17" s="60"/>
      <c r="AI17" s="60"/>
      <c r="AJ17" s="60"/>
      <c r="AK17" s="60"/>
      <c r="AL17" s="64"/>
      <c r="AM17" s="92"/>
      <c r="AN17" s="60"/>
      <c r="AO17" s="60"/>
      <c r="AP17" s="92"/>
      <c r="AQ17" s="60"/>
      <c r="AR17" s="60"/>
      <c r="AS17" s="92"/>
      <c r="AT17" s="60"/>
      <c r="AU17" s="60"/>
      <c r="AV17" s="92"/>
      <c r="AW17" s="60"/>
      <c r="AX17" s="60"/>
      <c r="AY17" s="92"/>
      <c r="AZ17" s="60"/>
      <c r="BA17" s="60"/>
      <c r="BB17" s="92"/>
      <c r="BC17" s="60"/>
      <c r="BD17" s="60"/>
      <c r="BE17" s="92"/>
      <c r="BF17" s="75"/>
      <c r="BG17" s="78"/>
      <c r="BH17" s="93"/>
      <c r="BI17" s="93"/>
      <c r="BJ17" s="58"/>
      <c r="BR17" s="16"/>
      <c r="BS17" s="16"/>
      <c r="BT17" s="16"/>
      <c r="BU17" s="16"/>
      <c r="BV17" s="16"/>
      <c r="BW17" s="16"/>
      <c r="BX17" s="16"/>
      <c r="BY17" s="16"/>
    </row>
    <row r="18" ht="15.75" customHeight="1">
      <c r="A18" s="7"/>
      <c r="B18" s="71"/>
      <c r="C18" s="59">
        <v>46065.0</v>
      </c>
      <c r="D18" s="65"/>
      <c r="E18" s="65"/>
      <c r="F18" s="66"/>
      <c r="G18" s="65"/>
      <c r="H18" s="65"/>
      <c r="I18" s="66"/>
      <c r="J18" s="66"/>
      <c r="K18" s="65"/>
      <c r="L18" s="66"/>
      <c r="M18" s="66"/>
      <c r="N18" s="69">
        <v>100.0</v>
      </c>
      <c r="O18" s="66"/>
      <c r="P18" s="68"/>
      <c r="Q18" s="65"/>
      <c r="R18" s="68"/>
      <c r="S18" s="68"/>
      <c r="T18" s="69">
        <v>20.0</v>
      </c>
      <c r="U18" s="68"/>
      <c r="V18" s="65"/>
      <c r="W18" s="65"/>
      <c r="X18" s="62"/>
      <c r="Y18" s="68"/>
      <c r="Z18" s="64">
        <v>100.0</v>
      </c>
      <c r="AA18" s="68"/>
      <c r="AB18" s="68"/>
      <c r="AC18" s="68"/>
      <c r="AD18" s="68"/>
      <c r="AE18" s="68"/>
      <c r="AF18" s="65"/>
      <c r="AG18" s="68"/>
      <c r="AH18" s="68"/>
      <c r="AI18" s="65"/>
      <c r="AJ18" s="65"/>
      <c r="AK18" s="60"/>
      <c r="AL18" s="60"/>
      <c r="AM18" s="64"/>
      <c r="AN18" s="60"/>
      <c r="AO18" s="64">
        <v>200.0</v>
      </c>
      <c r="AP18" s="60"/>
      <c r="AQ18" s="60"/>
      <c r="AR18" s="60"/>
      <c r="AS18" s="60"/>
      <c r="AT18" s="60"/>
      <c r="AU18" s="60"/>
      <c r="AV18" s="60"/>
      <c r="AW18" s="60"/>
      <c r="AX18" s="60"/>
      <c r="AY18" s="60"/>
      <c r="AZ18" s="60"/>
      <c r="BA18" s="60"/>
      <c r="BB18" s="60"/>
      <c r="BC18" s="60"/>
      <c r="BD18" s="60"/>
      <c r="BE18" s="60"/>
      <c r="BF18" s="94"/>
      <c r="BG18" s="78"/>
      <c r="BH18" s="93"/>
      <c r="BI18" s="93"/>
      <c r="BJ18" s="58"/>
      <c r="BR18" s="16"/>
      <c r="BS18" s="16"/>
      <c r="BT18" s="16"/>
      <c r="BU18" s="16"/>
      <c r="BV18" s="16"/>
      <c r="BW18" s="16"/>
      <c r="BX18" s="16"/>
      <c r="BY18" s="16"/>
    </row>
    <row r="19" ht="16.5" customHeight="1">
      <c r="A19" s="7"/>
      <c r="B19" s="71"/>
      <c r="C19" s="59">
        <v>46066.0</v>
      </c>
      <c r="D19" s="65"/>
      <c r="E19" s="65"/>
      <c r="F19" s="66"/>
      <c r="G19" s="66"/>
      <c r="H19" s="66"/>
      <c r="I19" s="66"/>
      <c r="J19" s="61"/>
      <c r="K19" s="61"/>
      <c r="L19" s="60"/>
      <c r="M19" s="66"/>
      <c r="N19" s="65"/>
      <c r="O19" s="66"/>
      <c r="P19" s="68"/>
      <c r="Q19" s="64">
        <v>50.0</v>
      </c>
      <c r="R19" s="68"/>
      <c r="S19" s="68"/>
      <c r="T19" s="65"/>
      <c r="U19" s="68"/>
      <c r="V19" s="69">
        <v>20.0</v>
      </c>
      <c r="W19" s="65"/>
      <c r="X19" s="68"/>
      <c r="Y19" s="68"/>
      <c r="Z19" s="65"/>
      <c r="AA19" s="68"/>
      <c r="AB19" s="68"/>
      <c r="AC19" s="68"/>
      <c r="AD19" s="68"/>
      <c r="AE19" s="69">
        <v>50.0</v>
      </c>
      <c r="AF19" s="69">
        <v>50.0</v>
      </c>
      <c r="AG19" s="68"/>
      <c r="AH19" s="68"/>
      <c r="AI19" s="68"/>
      <c r="AJ19" s="68"/>
      <c r="AK19" s="60"/>
      <c r="AL19" s="64"/>
      <c r="AM19" s="60"/>
      <c r="AN19" s="60"/>
      <c r="AO19" s="60"/>
      <c r="AP19" s="60"/>
      <c r="AQ19" s="60"/>
      <c r="AR19" s="60"/>
      <c r="AS19" s="60"/>
      <c r="AT19" s="60"/>
      <c r="AU19" s="60"/>
      <c r="AV19" s="60"/>
      <c r="AW19" s="60"/>
      <c r="AX19" s="60"/>
      <c r="AY19" s="60"/>
      <c r="AZ19" s="60"/>
      <c r="BA19" s="60"/>
      <c r="BB19" s="60"/>
      <c r="BC19" s="60"/>
      <c r="BD19" s="60"/>
      <c r="BE19" s="60"/>
      <c r="BF19" s="95"/>
      <c r="BG19" s="78"/>
      <c r="BH19" s="93"/>
      <c r="BI19" s="93"/>
      <c r="BJ19" s="58"/>
      <c r="BM19" s="96" t="s">
        <v>35</v>
      </c>
      <c r="BR19" s="12"/>
      <c r="BS19" s="12"/>
      <c r="BT19" s="12"/>
      <c r="BU19" s="12"/>
      <c r="BV19" s="12"/>
      <c r="BW19" s="12"/>
      <c r="BX19" s="12"/>
      <c r="BY19" s="12"/>
    </row>
    <row r="20" ht="17.25" customHeight="1">
      <c r="A20" s="7"/>
      <c r="B20" s="71"/>
      <c r="C20" s="59">
        <v>46067.0</v>
      </c>
      <c r="D20" s="64">
        <v>250.0</v>
      </c>
      <c r="E20" s="64">
        <v>250.0</v>
      </c>
      <c r="F20" s="60"/>
      <c r="G20" s="60"/>
      <c r="H20" s="60"/>
      <c r="I20" s="97"/>
      <c r="J20" s="64">
        <v>100.0</v>
      </c>
      <c r="K20" s="60"/>
      <c r="L20" s="60"/>
      <c r="M20" s="64">
        <v>150.0</v>
      </c>
      <c r="N20" s="64">
        <v>250.0</v>
      </c>
      <c r="O20" s="60"/>
      <c r="P20" s="60"/>
      <c r="Q20" s="64">
        <v>360.0</v>
      </c>
      <c r="R20" s="60"/>
      <c r="S20" s="64">
        <v>100.0</v>
      </c>
      <c r="T20" s="64">
        <v>120.0</v>
      </c>
      <c r="U20" s="63"/>
      <c r="V20" s="64">
        <v>100.0</v>
      </c>
      <c r="W20" s="64">
        <v>120.0</v>
      </c>
      <c r="X20" s="60"/>
      <c r="Y20" s="64">
        <v>100.0</v>
      </c>
      <c r="Z20" s="64">
        <v>80.0</v>
      </c>
      <c r="AA20" s="60"/>
      <c r="AB20" s="64">
        <v>100.0</v>
      </c>
      <c r="AC20" s="64">
        <v>150.0</v>
      </c>
      <c r="AD20" s="60"/>
      <c r="AE20" s="64">
        <v>350.0</v>
      </c>
      <c r="AF20" s="64">
        <v>200.0</v>
      </c>
      <c r="AG20" s="60"/>
      <c r="AH20" s="60"/>
      <c r="AI20" s="60"/>
      <c r="AJ20" s="60"/>
      <c r="AK20" s="69">
        <v>250.0</v>
      </c>
      <c r="AL20" s="69">
        <v>250.0</v>
      </c>
      <c r="AM20" s="68"/>
      <c r="AN20" s="69">
        <v>200.0</v>
      </c>
      <c r="AO20" s="65"/>
      <c r="AP20" s="68"/>
      <c r="AQ20" s="65"/>
      <c r="AR20" s="65"/>
      <c r="AS20" s="68"/>
      <c r="AT20" s="68"/>
      <c r="AU20" s="69">
        <v>100.0</v>
      </c>
      <c r="AV20" s="68"/>
      <c r="AW20" s="69">
        <v>80.0</v>
      </c>
      <c r="AX20" s="65"/>
      <c r="AY20" s="68"/>
      <c r="AZ20" s="69">
        <v>160.0</v>
      </c>
      <c r="BA20" s="69">
        <v>160.0</v>
      </c>
      <c r="BB20" s="68"/>
      <c r="BC20" s="69">
        <v>200.0</v>
      </c>
      <c r="BD20" s="65"/>
      <c r="BE20" s="68"/>
      <c r="BF20" s="75"/>
      <c r="BG20" s="78"/>
      <c r="BH20" s="93"/>
      <c r="BI20" s="93"/>
      <c r="BJ20" s="58"/>
      <c r="BR20" s="16"/>
      <c r="BS20" s="16"/>
      <c r="BT20" s="16"/>
      <c r="BU20" s="16"/>
      <c r="BV20" s="16"/>
      <c r="BW20" s="16"/>
      <c r="BX20" s="16"/>
      <c r="BY20" s="16"/>
    </row>
    <row r="21">
      <c r="A21" s="7"/>
      <c r="B21" s="71"/>
      <c r="C21" s="59">
        <v>46068.0</v>
      </c>
      <c r="D21" s="79"/>
      <c r="E21" s="80"/>
      <c r="F21" s="81"/>
      <c r="G21" s="81"/>
      <c r="H21" s="80"/>
      <c r="I21" s="81"/>
      <c r="J21" s="82"/>
      <c r="K21" s="83"/>
      <c r="L21" s="82"/>
      <c r="M21" s="81"/>
      <c r="N21" s="81"/>
      <c r="O21" s="81"/>
      <c r="P21" s="79"/>
      <c r="Q21" s="79"/>
      <c r="R21" s="79"/>
      <c r="S21" s="79"/>
      <c r="T21" s="80"/>
      <c r="U21" s="79"/>
      <c r="V21" s="79"/>
      <c r="W21" s="80"/>
      <c r="X21" s="79"/>
      <c r="Y21" s="79"/>
      <c r="Z21" s="83"/>
      <c r="AA21" s="79"/>
      <c r="AB21" s="79"/>
      <c r="AC21" s="83"/>
      <c r="AD21" s="79"/>
      <c r="AE21" s="79"/>
      <c r="AF21" s="79"/>
      <c r="AG21" s="79"/>
      <c r="AH21" s="79"/>
      <c r="AI21" s="79"/>
      <c r="AJ21" s="79"/>
      <c r="AK21" s="83"/>
      <c r="AL21" s="83"/>
      <c r="AM21" s="83"/>
      <c r="AN21" s="83"/>
      <c r="AO21" s="83"/>
      <c r="AP21" s="83"/>
      <c r="AQ21" s="83"/>
      <c r="AR21" s="83"/>
      <c r="AS21" s="83"/>
      <c r="AT21" s="83"/>
      <c r="AU21" s="83"/>
      <c r="AV21" s="83"/>
      <c r="AW21" s="83"/>
      <c r="AX21" s="83"/>
      <c r="AY21" s="83"/>
      <c r="AZ21" s="83"/>
      <c r="BA21" s="83"/>
      <c r="BB21" s="83"/>
      <c r="BC21" s="83"/>
      <c r="BD21" s="83"/>
      <c r="BE21" s="83"/>
      <c r="BF21" s="77"/>
      <c r="BG21" s="78"/>
      <c r="BH21" s="93"/>
      <c r="BI21" s="93"/>
      <c r="BJ21" s="58"/>
      <c r="BR21" s="16"/>
      <c r="BS21" s="16"/>
      <c r="BT21" s="16"/>
      <c r="BU21" s="16"/>
      <c r="BV21" s="16"/>
      <c r="BW21" s="16"/>
      <c r="BX21" s="16"/>
      <c r="BY21" s="16"/>
    </row>
    <row r="22" ht="15.0" customHeight="1">
      <c r="A22" s="7"/>
      <c r="B22" s="71"/>
      <c r="C22" s="59">
        <v>46069.0</v>
      </c>
      <c r="D22" s="60"/>
      <c r="E22" s="60"/>
      <c r="F22" s="63"/>
      <c r="G22" s="60"/>
      <c r="H22" s="60"/>
      <c r="I22" s="60"/>
      <c r="J22" s="60"/>
      <c r="K22" s="60"/>
      <c r="L22" s="63"/>
      <c r="M22" s="60"/>
      <c r="N22" s="98"/>
      <c r="O22" s="60"/>
      <c r="P22" s="64">
        <v>100.0</v>
      </c>
      <c r="Q22" s="64"/>
      <c r="R22" s="64" t="s">
        <v>33</v>
      </c>
      <c r="S22" s="60"/>
      <c r="T22" s="64">
        <v>150.0</v>
      </c>
      <c r="U22" s="60"/>
      <c r="V22" s="60"/>
      <c r="W22" s="60"/>
      <c r="X22" s="60"/>
      <c r="Y22" s="60"/>
      <c r="Z22" s="64">
        <v>50.0</v>
      </c>
      <c r="AA22" s="63"/>
      <c r="AB22" s="60"/>
      <c r="AC22" s="60"/>
      <c r="AD22" s="63"/>
      <c r="AE22" s="60"/>
      <c r="AF22" s="60"/>
      <c r="AG22" s="63"/>
      <c r="AH22" s="60"/>
      <c r="AI22" s="60"/>
      <c r="AJ22" s="63"/>
      <c r="AK22" s="60"/>
      <c r="AL22" s="60"/>
      <c r="AM22" s="60"/>
      <c r="AN22" s="60"/>
      <c r="AO22" s="60"/>
      <c r="AP22" s="60"/>
      <c r="AQ22" s="60"/>
      <c r="AR22" s="60"/>
      <c r="AS22" s="60"/>
      <c r="AT22" s="60"/>
      <c r="AU22" s="60"/>
      <c r="AV22" s="60"/>
      <c r="AW22" s="60"/>
      <c r="AX22" s="60"/>
      <c r="AY22" s="60"/>
      <c r="AZ22" s="60"/>
      <c r="BA22" s="60"/>
      <c r="BB22" s="60"/>
      <c r="BC22" s="60"/>
      <c r="BD22" s="60"/>
      <c r="BE22" s="60"/>
      <c r="BF22" s="75"/>
      <c r="BG22" s="99"/>
      <c r="BH22" s="93"/>
      <c r="BI22" s="93"/>
      <c r="BJ22" s="58"/>
      <c r="BR22" s="16"/>
      <c r="BS22" s="16"/>
      <c r="BT22" s="16"/>
      <c r="BU22" s="16"/>
      <c r="BV22" s="16"/>
      <c r="BW22" s="16"/>
      <c r="BX22" s="16"/>
      <c r="BY22" s="16"/>
    </row>
    <row r="23" ht="14.25" customHeight="1">
      <c r="A23" s="7"/>
      <c r="B23" s="71"/>
      <c r="C23" s="59">
        <v>46070.0</v>
      </c>
      <c r="D23" s="60"/>
      <c r="E23" s="60"/>
      <c r="F23" s="60"/>
      <c r="G23" s="60"/>
      <c r="H23" s="60"/>
      <c r="I23" s="60"/>
      <c r="J23" s="39"/>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75"/>
      <c r="BG23" s="99"/>
      <c r="BH23" s="93"/>
      <c r="BI23" s="93"/>
      <c r="BJ23" s="100"/>
      <c r="BR23" s="16"/>
      <c r="BS23" s="16"/>
      <c r="BT23" s="16"/>
      <c r="BU23" s="16"/>
      <c r="BV23" s="16"/>
      <c r="BW23" s="16"/>
      <c r="BX23" s="16"/>
      <c r="BY23" s="16"/>
    </row>
    <row r="24" ht="14.25" customHeight="1">
      <c r="A24" s="7"/>
      <c r="B24" s="71"/>
      <c r="C24" s="59">
        <v>46071.0</v>
      </c>
      <c r="D24" s="60"/>
      <c r="E24" s="60"/>
      <c r="F24" s="60"/>
      <c r="G24" s="60"/>
      <c r="H24" s="60"/>
      <c r="I24" s="60"/>
      <c r="J24" s="60"/>
      <c r="K24" s="60"/>
      <c r="L24" s="63"/>
      <c r="M24" s="60"/>
      <c r="N24" s="60"/>
      <c r="O24" s="60"/>
      <c r="P24" s="60"/>
      <c r="Q24" s="64"/>
      <c r="R24" s="60"/>
      <c r="S24" s="60"/>
      <c r="T24" s="60"/>
      <c r="U24" s="60"/>
      <c r="V24" s="60"/>
      <c r="W24" s="60"/>
      <c r="X24" s="63"/>
      <c r="Y24" s="60"/>
      <c r="Z24" s="60"/>
      <c r="AA24" s="60"/>
      <c r="AB24" s="60"/>
      <c r="AC24" s="60"/>
      <c r="AD24" s="60"/>
      <c r="AE24" s="60"/>
      <c r="AF24" s="60"/>
      <c r="AG24" s="63"/>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75"/>
      <c r="BG24" s="101"/>
      <c r="BH24" s="93"/>
      <c r="BI24" s="93"/>
      <c r="BJ24" s="58"/>
      <c r="BR24" s="16"/>
      <c r="BS24" s="16"/>
      <c r="BT24" s="16"/>
      <c r="BU24" s="16"/>
      <c r="BV24" s="16"/>
      <c r="BW24" s="16"/>
      <c r="BX24" s="16"/>
      <c r="BY24" s="16"/>
    </row>
    <row r="25" ht="14.25" customHeight="1">
      <c r="A25" s="7"/>
      <c r="B25" s="71"/>
      <c r="C25" s="59">
        <v>46072.0</v>
      </c>
      <c r="D25" s="65"/>
      <c r="E25" s="65"/>
      <c r="F25" s="66"/>
      <c r="G25" s="66"/>
      <c r="H25" s="65"/>
      <c r="I25" s="66"/>
      <c r="J25" s="61"/>
      <c r="K25" s="65"/>
      <c r="L25" s="61"/>
      <c r="M25" s="66"/>
      <c r="N25" s="60"/>
      <c r="O25" s="66"/>
      <c r="P25" s="65"/>
      <c r="Q25" s="69"/>
      <c r="R25" s="65"/>
      <c r="S25" s="68"/>
      <c r="T25" s="65"/>
      <c r="U25" s="68"/>
      <c r="V25" s="68"/>
      <c r="W25" s="65"/>
      <c r="X25" s="68"/>
      <c r="Y25" s="68"/>
      <c r="Z25" s="65"/>
      <c r="AA25" s="68"/>
      <c r="AB25" s="68"/>
      <c r="AC25" s="65"/>
      <c r="AD25" s="68"/>
      <c r="AE25" s="68"/>
      <c r="AF25" s="65"/>
      <c r="AG25" s="68"/>
      <c r="AH25" s="68"/>
      <c r="AI25" s="65"/>
      <c r="AJ25" s="68"/>
      <c r="AK25" s="60"/>
      <c r="AL25" s="60"/>
      <c r="AM25" s="60"/>
      <c r="AN25" s="60"/>
      <c r="AO25" s="60"/>
      <c r="AP25" s="60"/>
      <c r="AQ25" s="60"/>
      <c r="AR25" s="60"/>
      <c r="AS25" s="60"/>
      <c r="AT25" s="60"/>
      <c r="AU25" s="60"/>
      <c r="AV25" s="60"/>
      <c r="AW25" s="60"/>
      <c r="AX25" s="60"/>
      <c r="AY25" s="60"/>
      <c r="AZ25" s="60"/>
      <c r="BA25" s="60"/>
      <c r="BB25" s="60"/>
      <c r="BC25" s="60"/>
      <c r="BD25" s="60"/>
      <c r="BE25" s="60"/>
      <c r="BF25" s="75"/>
      <c r="BG25" s="102"/>
      <c r="BH25" s="93"/>
      <c r="BI25" s="93"/>
      <c r="BJ25" s="58"/>
      <c r="BR25" s="16"/>
      <c r="BS25" s="16"/>
      <c r="BT25" s="16"/>
      <c r="BU25" s="16"/>
      <c r="BV25" s="16"/>
      <c r="BW25" s="16"/>
      <c r="BX25" s="16"/>
      <c r="BY25" s="16"/>
    </row>
    <row r="26" ht="14.25" customHeight="1">
      <c r="A26" s="7"/>
      <c r="B26" s="71"/>
      <c r="C26" s="59">
        <v>46073.0</v>
      </c>
      <c r="D26" s="68"/>
      <c r="E26" s="65"/>
      <c r="F26" s="66"/>
      <c r="G26" s="66"/>
      <c r="H26" s="65"/>
      <c r="I26" s="66"/>
      <c r="J26" s="66"/>
      <c r="K26" s="65"/>
      <c r="L26" s="66"/>
      <c r="M26" s="66"/>
      <c r="N26" s="60"/>
      <c r="O26" s="66"/>
      <c r="P26" s="60"/>
      <c r="Q26" s="65"/>
      <c r="R26" s="68"/>
      <c r="S26" s="68"/>
      <c r="T26" s="60"/>
      <c r="U26" s="68"/>
      <c r="V26" s="68"/>
      <c r="W26" s="65"/>
      <c r="X26" s="68"/>
      <c r="Y26" s="65"/>
      <c r="Z26" s="65"/>
      <c r="AA26" s="68"/>
      <c r="AB26" s="68"/>
      <c r="AC26" s="65"/>
      <c r="AD26" s="68"/>
      <c r="AE26" s="68"/>
      <c r="AF26" s="68"/>
      <c r="AG26" s="68"/>
      <c r="AH26" s="68"/>
      <c r="AI26" s="68"/>
      <c r="AJ26" s="68"/>
      <c r="AK26" s="68"/>
      <c r="AL26" s="65"/>
      <c r="AM26" s="68"/>
      <c r="AN26" s="68"/>
      <c r="AO26" s="65"/>
      <c r="AP26" s="68"/>
      <c r="AQ26" s="68"/>
      <c r="AR26" s="65"/>
      <c r="AS26" s="68"/>
      <c r="AT26" s="68"/>
      <c r="AU26" s="65"/>
      <c r="AV26" s="68"/>
      <c r="AW26" s="68"/>
      <c r="AX26" s="65"/>
      <c r="AY26" s="68"/>
      <c r="AZ26" s="68"/>
      <c r="BA26" s="65"/>
      <c r="BB26" s="68"/>
      <c r="BC26" s="68"/>
      <c r="BD26" s="65"/>
      <c r="BE26" s="68"/>
      <c r="BF26" s="75"/>
      <c r="BG26" s="102"/>
      <c r="BH26" s="93"/>
      <c r="BI26" s="93"/>
      <c r="BJ26" s="58"/>
      <c r="BR26" s="16"/>
      <c r="BS26" s="16"/>
      <c r="BT26" s="16"/>
      <c r="BU26" s="16"/>
      <c r="BV26" s="16"/>
      <c r="BW26" s="16"/>
      <c r="BX26" s="16"/>
      <c r="BY26" s="16"/>
    </row>
    <row r="27" ht="14.25" customHeight="1">
      <c r="A27" s="7"/>
      <c r="B27" s="71"/>
      <c r="C27" s="59">
        <v>46074.0</v>
      </c>
      <c r="D27" s="64">
        <v>250.0</v>
      </c>
      <c r="E27" s="60"/>
      <c r="F27" s="60"/>
      <c r="G27" s="60"/>
      <c r="H27" s="60"/>
      <c r="I27" s="60"/>
      <c r="J27" s="64">
        <v>100.0</v>
      </c>
      <c r="K27" s="60"/>
      <c r="L27" s="60"/>
      <c r="M27" s="64">
        <v>100.0</v>
      </c>
      <c r="N27" s="60"/>
      <c r="O27" s="63"/>
      <c r="P27" s="60"/>
      <c r="Q27" s="64"/>
      <c r="R27" s="60"/>
      <c r="S27" s="64">
        <v>100.0</v>
      </c>
      <c r="T27" s="60"/>
      <c r="U27" s="60"/>
      <c r="V27" s="64">
        <v>100.0</v>
      </c>
      <c r="W27" s="60"/>
      <c r="X27" s="60"/>
      <c r="Y27" s="64">
        <v>100.0</v>
      </c>
      <c r="Z27" s="60"/>
      <c r="AA27" s="60"/>
      <c r="AB27" s="64">
        <v>100.0</v>
      </c>
      <c r="AC27" s="60"/>
      <c r="AD27" s="60"/>
      <c r="AE27" s="64">
        <v>350.0</v>
      </c>
      <c r="AF27" s="64"/>
      <c r="AG27" s="60"/>
      <c r="AH27" s="60"/>
      <c r="AI27" s="60"/>
      <c r="AJ27" s="60"/>
      <c r="AK27" s="64">
        <v>250.0</v>
      </c>
      <c r="AL27" s="60"/>
      <c r="AM27" s="60"/>
      <c r="AN27" s="64">
        <v>200.0</v>
      </c>
      <c r="AO27" s="60"/>
      <c r="AP27" s="60"/>
      <c r="AQ27" s="60"/>
      <c r="AR27" s="60"/>
      <c r="AS27" s="60"/>
      <c r="AT27" s="60"/>
      <c r="AU27" s="60"/>
      <c r="AV27" s="60"/>
      <c r="AW27" s="64">
        <v>80.0</v>
      </c>
      <c r="AX27" s="60"/>
      <c r="AY27" s="60"/>
      <c r="AZ27" s="64">
        <v>140.0</v>
      </c>
      <c r="BA27" s="60"/>
      <c r="BB27" s="60"/>
      <c r="BC27" s="64">
        <v>200.0</v>
      </c>
      <c r="BD27" s="60"/>
      <c r="BE27" s="60"/>
      <c r="BF27" s="75"/>
      <c r="BG27" s="102"/>
      <c r="BH27" s="93"/>
      <c r="BI27" s="93"/>
      <c r="BJ27" s="58"/>
      <c r="BR27" s="16"/>
      <c r="BS27" s="16"/>
      <c r="BT27" s="16"/>
      <c r="BU27" s="16"/>
      <c r="BV27" s="16"/>
      <c r="BW27" s="16"/>
      <c r="BX27" s="16"/>
      <c r="BY27" s="16"/>
    </row>
    <row r="28" ht="14.25" customHeight="1">
      <c r="A28" s="7"/>
      <c r="B28" s="71"/>
      <c r="C28" s="59">
        <v>46075.0</v>
      </c>
      <c r="D28" s="79"/>
      <c r="E28" s="80"/>
      <c r="F28" s="81"/>
      <c r="G28" s="81"/>
      <c r="H28" s="80"/>
      <c r="I28" s="81"/>
      <c r="J28" s="82"/>
      <c r="K28" s="83"/>
      <c r="L28" s="82"/>
      <c r="M28" s="81"/>
      <c r="N28" s="81"/>
      <c r="O28" s="81"/>
      <c r="P28" s="79"/>
      <c r="Q28" s="79"/>
      <c r="R28" s="79"/>
      <c r="S28" s="79"/>
      <c r="T28" s="80"/>
      <c r="U28" s="79"/>
      <c r="V28" s="79"/>
      <c r="W28" s="80"/>
      <c r="X28" s="79"/>
      <c r="Y28" s="79"/>
      <c r="Z28" s="83"/>
      <c r="AA28" s="79"/>
      <c r="AB28" s="79"/>
      <c r="AC28" s="83"/>
      <c r="AD28" s="79"/>
      <c r="AE28" s="79"/>
      <c r="AF28" s="79"/>
      <c r="AG28" s="79"/>
      <c r="AH28" s="79"/>
      <c r="AI28" s="79"/>
      <c r="AJ28" s="79"/>
      <c r="AK28" s="83"/>
      <c r="AL28" s="83"/>
      <c r="AM28" s="83"/>
      <c r="AN28" s="83"/>
      <c r="AO28" s="83"/>
      <c r="AP28" s="83"/>
      <c r="AQ28" s="83"/>
      <c r="AR28" s="83"/>
      <c r="AS28" s="83"/>
      <c r="AT28" s="83"/>
      <c r="AU28" s="83"/>
      <c r="AV28" s="83"/>
      <c r="AW28" s="83"/>
      <c r="AX28" s="83"/>
      <c r="AY28" s="83"/>
      <c r="AZ28" s="83"/>
      <c r="BA28" s="83"/>
      <c r="BB28" s="83"/>
      <c r="BC28" s="83"/>
      <c r="BD28" s="83"/>
      <c r="BE28" s="83"/>
      <c r="BF28" s="75"/>
      <c r="BG28" s="102"/>
      <c r="BH28" s="93"/>
      <c r="BI28" s="93"/>
      <c r="BJ28" s="58"/>
      <c r="BR28" s="16"/>
      <c r="BS28" s="16"/>
      <c r="BT28" s="16"/>
      <c r="BU28" s="16"/>
      <c r="BV28" s="16"/>
      <c r="BW28" s="16"/>
      <c r="BX28" s="16"/>
      <c r="BY28" s="16"/>
    </row>
    <row r="29" ht="14.25" customHeight="1">
      <c r="A29" s="7"/>
      <c r="B29" s="71"/>
      <c r="C29" s="59">
        <v>46076.0</v>
      </c>
      <c r="D29" s="60"/>
      <c r="E29" s="60"/>
      <c r="F29" s="60"/>
      <c r="G29" s="60"/>
      <c r="H29" s="60"/>
      <c r="I29" s="39"/>
      <c r="J29" s="60"/>
      <c r="K29" s="60"/>
      <c r="L29" s="60"/>
      <c r="M29" s="60"/>
      <c r="N29" s="60"/>
      <c r="O29" s="63"/>
      <c r="P29" s="60"/>
      <c r="Q29" s="98"/>
      <c r="R29" s="60"/>
      <c r="S29" s="60"/>
      <c r="T29" s="60"/>
      <c r="U29" s="63"/>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103"/>
      <c r="BG29" s="102"/>
      <c r="BH29" s="93"/>
      <c r="BI29" s="93"/>
      <c r="BJ29" s="58"/>
      <c r="BR29" s="16"/>
      <c r="BS29" s="16"/>
      <c r="BT29" s="16"/>
      <c r="BU29" s="16"/>
      <c r="BV29" s="16"/>
      <c r="BW29" s="16"/>
      <c r="BX29" s="16"/>
      <c r="BY29" s="16"/>
    </row>
    <row r="30" ht="14.25" customHeight="1">
      <c r="A30" s="104"/>
      <c r="B30" s="105"/>
      <c r="C30" s="59">
        <v>46077.0</v>
      </c>
      <c r="D30" s="68"/>
      <c r="E30" s="60"/>
      <c r="F30" s="60"/>
      <c r="G30" s="60"/>
      <c r="H30" s="60"/>
      <c r="I30" s="60"/>
      <c r="J30" s="60"/>
      <c r="K30" s="60"/>
      <c r="L30" s="60"/>
      <c r="M30" s="60"/>
      <c r="N30" s="60"/>
      <c r="O30" s="60"/>
      <c r="P30" s="106"/>
      <c r="Q30" s="60"/>
      <c r="R30" s="60"/>
      <c r="S30" s="60"/>
      <c r="T30" s="60"/>
      <c r="U30" s="60"/>
      <c r="V30" s="60"/>
      <c r="W30" s="60"/>
      <c r="X30" s="60"/>
      <c r="Y30" s="60"/>
      <c r="Z30" s="60"/>
      <c r="AA30" s="60"/>
      <c r="AB30" s="60"/>
      <c r="AC30" s="60"/>
      <c r="AD30" s="60"/>
      <c r="AE30" s="60"/>
      <c r="AF30" s="60"/>
      <c r="AG30" s="60"/>
      <c r="AH30" s="60"/>
      <c r="AI30" s="60"/>
      <c r="AJ30" s="92"/>
      <c r="AK30" s="60"/>
      <c r="AL30" s="60"/>
      <c r="AM30" s="60"/>
      <c r="AN30" s="60"/>
      <c r="AO30" s="60"/>
      <c r="AP30" s="60"/>
      <c r="AQ30" s="60"/>
      <c r="AR30" s="60"/>
      <c r="AS30" s="60"/>
      <c r="AT30" s="60"/>
      <c r="AU30" s="60"/>
      <c r="AV30" s="60"/>
      <c r="AW30" s="60"/>
      <c r="AX30" s="60"/>
      <c r="AY30" s="60"/>
      <c r="AZ30" s="60"/>
      <c r="BA30" s="60"/>
      <c r="BB30" s="60"/>
      <c r="BC30" s="60"/>
      <c r="BD30" s="60"/>
      <c r="BE30" s="60"/>
      <c r="BF30" s="107"/>
      <c r="BG30" s="102"/>
      <c r="BH30" s="93"/>
      <c r="BI30" s="93"/>
      <c r="BJ30" s="58"/>
      <c r="BR30" s="16"/>
      <c r="BS30" s="16"/>
      <c r="BT30" s="16"/>
      <c r="BU30" s="16"/>
      <c r="BV30" s="16"/>
      <c r="BW30" s="16"/>
      <c r="BX30" s="16"/>
      <c r="BY30" s="16"/>
    </row>
    <row r="31" ht="14.25" customHeight="1">
      <c r="A31" s="7"/>
      <c r="B31" s="71"/>
      <c r="C31" s="59">
        <v>46078.0</v>
      </c>
      <c r="D31" s="60"/>
      <c r="E31" s="60"/>
      <c r="F31" s="60"/>
      <c r="G31" s="64">
        <v>1500.0</v>
      </c>
      <c r="H31" s="60"/>
      <c r="I31" s="60"/>
      <c r="J31" s="60"/>
      <c r="K31" s="60"/>
      <c r="L31" s="60"/>
      <c r="M31" s="60"/>
      <c r="N31" s="60"/>
      <c r="O31" s="60"/>
      <c r="P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4"/>
      <c r="BE31" s="60"/>
      <c r="BF31" s="95"/>
      <c r="BG31" s="102"/>
      <c r="BH31" s="93"/>
      <c r="BI31" s="93"/>
      <c r="BJ31" s="58"/>
      <c r="BR31" s="16"/>
      <c r="BS31" s="16"/>
      <c r="BT31" s="16"/>
      <c r="BU31" s="16"/>
      <c r="BV31" s="16"/>
      <c r="BW31" s="16"/>
      <c r="BX31" s="16"/>
      <c r="BY31" s="16"/>
    </row>
    <row r="32" ht="14.25" customHeight="1">
      <c r="A32" s="7"/>
      <c r="B32" s="71"/>
      <c r="C32" s="59">
        <v>46079.0</v>
      </c>
      <c r="D32" s="69">
        <v>400.0</v>
      </c>
      <c r="E32" s="65"/>
      <c r="F32" s="66"/>
      <c r="G32" s="61"/>
      <c r="H32" s="65"/>
      <c r="I32" s="66"/>
      <c r="J32" s="69">
        <v>1100.0</v>
      </c>
      <c r="K32" s="65"/>
      <c r="L32" s="66"/>
      <c r="M32" s="69">
        <v>1300.0</v>
      </c>
      <c r="N32" s="60"/>
      <c r="O32" s="66"/>
      <c r="P32" s="69">
        <v>1150.0</v>
      </c>
      <c r="Q32" s="60"/>
      <c r="R32" s="65"/>
      <c r="S32" s="69">
        <v>500.0</v>
      </c>
      <c r="T32" s="108"/>
      <c r="U32" s="68"/>
      <c r="V32" s="69">
        <v>570.0</v>
      </c>
      <c r="W32" s="65"/>
      <c r="X32" s="68"/>
      <c r="Y32" s="69">
        <v>500.0</v>
      </c>
      <c r="Z32" s="60"/>
      <c r="AA32" s="68"/>
      <c r="AB32" s="69">
        <v>300.0</v>
      </c>
      <c r="AC32" s="65"/>
      <c r="AD32" s="68"/>
      <c r="AE32" s="69">
        <v>600.0</v>
      </c>
      <c r="AF32" s="69"/>
      <c r="AG32" s="68"/>
      <c r="AH32" s="68"/>
      <c r="AI32" s="65"/>
      <c r="AJ32" s="68"/>
      <c r="AK32" s="64">
        <v>350.0</v>
      </c>
      <c r="AL32" s="60"/>
      <c r="AM32" s="60"/>
      <c r="AN32" s="64">
        <v>300.0</v>
      </c>
      <c r="AO32" s="60"/>
      <c r="AP32" s="60"/>
      <c r="AQ32" s="60"/>
      <c r="AR32" s="60"/>
      <c r="AS32" s="60"/>
      <c r="AT32" s="60"/>
      <c r="AU32" s="60"/>
      <c r="AV32" s="60"/>
      <c r="AW32" s="64">
        <v>360.0</v>
      </c>
      <c r="AX32" s="60"/>
      <c r="AY32" s="60"/>
      <c r="AZ32" s="64">
        <v>140.0</v>
      </c>
      <c r="BA32" s="60"/>
      <c r="BB32" s="60"/>
      <c r="BC32" s="64">
        <v>200.0</v>
      </c>
      <c r="BD32" s="60"/>
      <c r="BE32" s="60"/>
      <c r="BF32" s="75"/>
      <c r="BG32" s="102"/>
      <c r="BH32" s="93"/>
      <c r="BI32" s="93"/>
      <c r="BJ32" s="58"/>
      <c r="BR32" s="16"/>
      <c r="BS32" s="16"/>
      <c r="BT32" s="16"/>
      <c r="BU32" s="16"/>
      <c r="BV32" s="16"/>
      <c r="BW32" s="16"/>
      <c r="BX32" s="16"/>
      <c r="BY32" s="16"/>
    </row>
    <row r="33" ht="15.75" customHeight="1">
      <c r="A33" s="7"/>
      <c r="B33" s="71"/>
      <c r="C33" s="59">
        <v>46080.0</v>
      </c>
      <c r="D33" s="68"/>
      <c r="E33" s="65"/>
      <c r="F33" s="61"/>
      <c r="G33" s="61"/>
      <c r="H33" s="65"/>
      <c r="I33" s="66"/>
      <c r="J33" s="66"/>
      <c r="K33" s="61"/>
      <c r="L33" s="66"/>
      <c r="M33" s="61"/>
      <c r="N33" s="61"/>
      <c r="O33" s="61"/>
      <c r="P33" s="65"/>
      <c r="Q33" s="60"/>
      <c r="R33" s="68"/>
      <c r="S33" s="68"/>
      <c r="T33" s="65"/>
      <c r="U33" s="68"/>
      <c r="V33" s="68"/>
      <c r="W33" s="60"/>
      <c r="X33" s="68"/>
      <c r="Y33" s="65"/>
      <c r="Z33" s="65"/>
      <c r="AA33" s="68"/>
      <c r="AB33" s="68"/>
      <c r="AC33" s="65"/>
      <c r="AD33" s="68"/>
      <c r="AE33" s="68"/>
      <c r="AF33" s="68"/>
      <c r="AG33" s="68"/>
      <c r="AH33" s="68"/>
      <c r="AI33" s="68"/>
      <c r="AJ33" s="68"/>
      <c r="AK33" s="60"/>
      <c r="AL33" s="60"/>
      <c r="AM33" s="60"/>
      <c r="AN33" s="60"/>
      <c r="AO33" s="60"/>
      <c r="AP33" s="60"/>
      <c r="AQ33" s="60"/>
      <c r="AR33" s="60"/>
      <c r="AS33" s="60"/>
      <c r="AT33" s="60"/>
      <c r="AU33" s="60"/>
      <c r="AV33" s="60"/>
      <c r="AW33" s="60"/>
      <c r="AX33" s="60"/>
      <c r="AY33" s="60"/>
      <c r="AZ33" s="60"/>
      <c r="BA33" s="60"/>
      <c r="BB33" s="60"/>
      <c r="BC33" s="60"/>
      <c r="BD33" s="60"/>
      <c r="BE33" s="60"/>
      <c r="BF33" s="94"/>
      <c r="BG33" s="102"/>
      <c r="BH33" s="93"/>
      <c r="BI33" s="93"/>
      <c r="BJ33" s="58"/>
      <c r="BR33" s="16"/>
      <c r="BS33" s="16"/>
      <c r="BT33" s="16"/>
      <c r="BU33" s="16"/>
      <c r="BV33" s="16"/>
      <c r="BW33" s="16"/>
      <c r="BX33" s="16"/>
      <c r="BY33" s="16"/>
    </row>
    <row r="34" ht="15.0" customHeight="1">
      <c r="A34" s="7"/>
      <c r="B34" s="71"/>
      <c r="C34" s="59">
        <v>46081.0</v>
      </c>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95"/>
      <c r="BG34" s="101"/>
      <c r="BH34" s="93"/>
      <c r="BI34" s="93"/>
      <c r="BJ34" s="109"/>
      <c r="BR34" s="16"/>
      <c r="BS34" s="16"/>
      <c r="BT34" s="16"/>
      <c r="BU34" s="16"/>
      <c r="BV34" s="16"/>
      <c r="BW34" s="16"/>
      <c r="BX34" s="16"/>
      <c r="BY34" s="16"/>
    </row>
    <row r="35" ht="14.25" customHeight="1">
      <c r="A35" s="7"/>
      <c r="B35" s="110"/>
      <c r="C35" s="111"/>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3"/>
      <c r="BF35" s="75"/>
      <c r="BG35" s="102"/>
      <c r="BH35" s="93"/>
      <c r="BI35" s="93"/>
      <c r="BJ35" s="58"/>
      <c r="BR35" s="16"/>
      <c r="BS35" s="16"/>
      <c r="BT35" s="16"/>
      <c r="BU35" s="16"/>
      <c r="BV35" s="16"/>
      <c r="BW35" s="16"/>
      <c r="BX35" s="16"/>
      <c r="BY35" s="16"/>
    </row>
    <row r="36" ht="12.75" customHeight="1">
      <c r="A36" s="7"/>
      <c r="B36" s="114"/>
      <c r="C36" s="115"/>
      <c r="BE36" s="116"/>
      <c r="BF36" s="75"/>
      <c r="BG36" s="102"/>
      <c r="BH36" s="93"/>
      <c r="BI36" s="93"/>
      <c r="BJ36" s="58"/>
      <c r="BR36" s="16"/>
      <c r="BS36" s="16"/>
      <c r="BT36" s="16"/>
      <c r="BU36" s="16"/>
      <c r="BV36" s="16"/>
      <c r="BW36" s="16"/>
      <c r="BX36" s="16"/>
      <c r="BY36" s="16"/>
    </row>
    <row r="37" ht="14.25" customHeight="1">
      <c r="A37" s="7"/>
      <c r="B37" s="114"/>
      <c r="C37" s="115"/>
      <c r="BE37" s="116"/>
      <c r="BF37" s="95"/>
      <c r="BG37" s="101"/>
      <c r="BH37" s="93"/>
      <c r="BI37" s="93"/>
      <c r="BJ37" s="58"/>
      <c r="BR37" s="16"/>
      <c r="BS37" s="16"/>
      <c r="BT37" s="16"/>
      <c r="BU37" s="16"/>
      <c r="BV37" s="16"/>
      <c r="BW37" s="16"/>
      <c r="BX37" s="16"/>
      <c r="BY37" s="16"/>
    </row>
    <row r="38" ht="14.25" customHeight="1">
      <c r="A38" s="7"/>
      <c r="B38" s="114"/>
      <c r="C38" s="117"/>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9"/>
      <c r="BF38" s="95"/>
      <c r="BG38" s="101"/>
      <c r="BH38" s="93"/>
      <c r="BI38" s="93"/>
      <c r="BJ38" s="58"/>
      <c r="BR38" s="16"/>
      <c r="BS38" s="16"/>
      <c r="BT38" s="16"/>
      <c r="BU38" s="16"/>
      <c r="BV38" s="16"/>
      <c r="BW38" s="16"/>
      <c r="BX38" s="16"/>
      <c r="BY38" s="16"/>
    </row>
    <row r="39" ht="14.25" customHeight="1">
      <c r="A39" s="7"/>
      <c r="B39" s="120"/>
      <c r="C39" s="121"/>
      <c r="D39" s="122">
        <f t="shared" ref="D39:E39" si="1">SUM(D7:D38)</f>
        <v>1150</v>
      </c>
      <c r="E39" s="123">
        <f t="shared" si="1"/>
        <v>981</v>
      </c>
      <c r="F39" s="124">
        <f>D39-E39</f>
        <v>169</v>
      </c>
      <c r="G39" s="125">
        <f t="shared" ref="G39:H39" si="2">SUM(G7:G38)</f>
        <v>1536</v>
      </c>
      <c r="H39" s="125">
        <f t="shared" si="2"/>
        <v>200</v>
      </c>
      <c r="I39" s="124">
        <f>G39-H39</f>
        <v>1336</v>
      </c>
      <c r="J39" s="125">
        <f t="shared" ref="J39:K39" si="3">SUM(J7:J38)</f>
        <v>1400</v>
      </c>
      <c r="K39" s="125">
        <f t="shared" si="3"/>
        <v>100</v>
      </c>
      <c r="L39" s="124">
        <f>J39-K39</f>
        <v>1300</v>
      </c>
      <c r="M39" s="125">
        <f t="shared" ref="M39:N39" si="4">SUM(M7:M38)</f>
        <v>1650</v>
      </c>
      <c r="N39" s="125">
        <f t="shared" si="4"/>
        <v>1265</v>
      </c>
      <c r="O39" s="124">
        <f>M39-N39</f>
        <v>385</v>
      </c>
      <c r="P39" s="125">
        <f t="shared" ref="P39:Q39" si="5">SUM(P7:P38)</f>
        <v>1500</v>
      </c>
      <c r="Q39" s="125">
        <f t="shared" si="5"/>
        <v>700</v>
      </c>
      <c r="R39" s="126">
        <f>P39-Q39</f>
        <v>800</v>
      </c>
      <c r="S39" s="123">
        <f t="shared" ref="S39:T39" si="6">SUM(S7:S38)</f>
        <v>802</v>
      </c>
      <c r="T39" s="123">
        <f t="shared" si="6"/>
        <v>525</v>
      </c>
      <c r="U39" s="124">
        <f>S39-T39</f>
        <v>277</v>
      </c>
      <c r="V39" s="123">
        <f t="shared" ref="V39:W39" si="7">SUM(V7:V38)</f>
        <v>910</v>
      </c>
      <c r="W39" s="123">
        <f t="shared" si="7"/>
        <v>201.5</v>
      </c>
      <c r="X39" s="127">
        <f>V39-W39</f>
        <v>708.5</v>
      </c>
      <c r="Y39" s="123">
        <f t="shared" ref="Y39:Z39" si="8">SUM(Y7:Y38)</f>
        <v>800</v>
      </c>
      <c r="Z39" s="123">
        <f t="shared" si="8"/>
        <v>512</v>
      </c>
      <c r="AA39" s="128">
        <f>Y39-Z39</f>
        <v>288</v>
      </c>
      <c r="AB39" s="123">
        <f t="shared" ref="AB39:AC39" si="9">SUM(AB7:AB38)</f>
        <v>600</v>
      </c>
      <c r="AC39" s="125">
        <f t="shared" si="9"/>
        <v>1282</v>
      </c>
      <c r="AD39" s="129">
        <f>AB39-AC39</f>
        <v>-682</v>
      </c>
      <c r="AE39" s="125">
        <f t="shared" ref="AE39:AF39" si="10">SUM(AE7:AE38)</f>
        <v>1480</v>
      </c>
      <c r="AF39" s="125">
        <f t="shared" si="10"/>
        <v>1300</v>
      </c>
      <c r="AG39" s="128">
        <f>AE39-AF39</f>
        <v>180</v>
      </c>
      <c r="AH39" s="125">
        <f t="shared" ref="AH39:AI39" si="11">SUM(AH7:AH38)</f>
        <v>0</v>
      </c>
      <c r="AI39" s="125">
        <f t="shared" si="11"/>
        <v>0</v>
      </c>
      <c r="AJ39" s="128">
        <f>AH39-AI39</f>
        <v>0</v>
      </c>
      <c r="AK39" s="125">
        <f t="shared" ref="AK39:AL39" si="12">SUM(AK7:AK38)</f>
        <v>1100</v>
      </c>
      <c r="AL39" s="125">
        <f t="shared" si="12"/>
        <v>500</v>
      </c>
      <c r="AM39" s="126">
        <f>AK39-AL39</f>
        <v>600</v>
      </c>
      <c r="AN39" s="125">
        <f t="shared" ref="AN39:AO39" si="13">SUM(AN7:AN38)</f>
        <v>900</v>
      </c>
      <c r="AO39" s="125">
        <f t="shared" si="13"/>
        <v>500</v>
      </c>
      <c r="AP39" s="126">
        <f>AN39-AO39</f>
        <v>400</v>
      </c>
      <c r="AQ39" s="125">
        <f t="shared" ref="AQ39:AR39" si="14">SUM(AQ7:AQ38)</f>
        <v>100</v>
      </c>
      <c r="AR39" s="125">
        <f t="shared" si="14"/>
        <v>160</v>
      </c>
      <c r="AS39" s="126">
        <f>AQ39-AR39</f>
        <v>-60</v>
      </c>
      <c r="AT39" s="125">
        <f t="shared" ref="AT39:AU39" si="15">SUM(AT7:AT38)</f>
        <v>1100</v>
      </c>
      <c r="AU39" s="125">
        <f t="shared" si="15"/>
        <v>100</v>
      </c>
      <c r="AV39" s="126">
        <f>AT39-AU39</f>
        <v>1000</v>
      </c>
      <c r="AW39" s="125">
        <f t="shared" ref="AW39:AX39" si="16">SUM(AW7:AW38)</f>
        <v>600</v>
      </c>
      <c r="AX39" s="125">
        <f t="shared" si="16"/>
        <v>100</v>
      </c>
      <c r="AY39" s="126">
        <f>AW39-AX39</f>
        <v>500</v>
      </c>
      <c r="AZ39" s="125">
        <f t="shared" ref="AZ39:BA39" si="17">SUM(AZ7:AZ38)</f>
        <v>640</v>
      </c>
      <c r="BA39" s="125">
        <f t="shared" si="17"/>
        <v>360</v>
      </c>
      <c r="BB39" s="126">
        <f>AZ39-BA39</f>
        <v>280</v>
      </c>
      <c r="BC39" s="125">
        <f t="shared" ref="BC39:BD39" si="18">SUM(BC7:BC38)</f>
        <v>800</v>
      </c>
      <c r="BD39" s="125">
        <f t="shared" si="18"/>
        <v>0</v>
      </c>
      <c r="BE39" s="126">
        <f>BC39-BD39</f>
        <v>800</v>
      </c>
      <c r="BF39" s="103"/>
      <c r="BG39" s="99"/>
      <c r="BH39" s="130"/>
      <c r="BI39" s="130"/>
      <c r="BJ39" s="58"/>
      <c r="BR39" s="131"/>
      <c r="BS39" s="131"/>
      <c r="BT39" s="131"/>
      <c r="BU39" s="131"/>
      <c r="BV39" s="131"/>
      <c r="BW39" s="131"/>
      <c r="BX39" s="131"/>
      <c r="BY39" s="131"/>
    </row>
    <row r="40" ht="14.25" customHeight="1">
      <c r="A40" s="132"/>
      <c r="B40" s="2"/>
      <c r="C40" s="2"/>
      <c r="D40" s="133" t="s">
        <v>36</v>
      </c>
      <c r="E40" s="134">
        <f>SUM(E9:E38)+E8</f>
        <v>500</v>
      </c>
      <c r="F40" s="2"/>
      <c r="G40" s="133" t="s">
        <v>36</v>
      </c>
      <c r="H40" s="134">
        <f>SUM(H9:H38)+H8</f>
        <v>0</v>
      </c>
      <c r="I40" s="2"/>
      <c r="J40" s="133" t="s">
        <v>36</v>
      </c>
      <c r="K40" s="134">
        <f>SUM(K9:K38)+K8</f>
        <v>100</v>
      </c>
      <c r="L40" s="2"/>
      <c r="M40" s="133" t="s">
        <v>36</v>
      </c>
      <c r="N40" s="134">
        <f>SUM(N8:N38)</f>
        <v>450</v>
      </c>
      <c r="O40" s="2"/>
      <c r="P40" s="133" t="s">
        <v>36</v>
      </c>
      <c r="Q40" s="134">
        <f>SUM(Q9:Q38)+Q8</f>
        <v>685</v>
      </c>
      <c r="R40" s="2"/>
      <c r="S40" s="133" t="s">
        <v>36</v>
      </c>
      <c r="T40" s="134">
        <f>SUM(T8:T38)</f>
        <v>525</v>
      </c>
      <c r="U40" s="135"/>
      <c r="V40" s="133" t="s">
        <v>36</v>
      </c>
      <c r="W40" s="134">
        <f>SUM(W9:W38)+W8</f>
        <v>201.5</v>
      </c>
      <c r="X40" s="135"/>
      <c r="Y40" s="133" t="s">
        <v>36</v>
      </c>
      <c r="Z40" s="134">
        <f>SUM(Z9:Z38)+Z8</f>
        <v>410</v>
      </c>
      <c r="AA40" s="136"/>
      <c r="AB40" s="133" t="s">
        <v>36</v>
      </c>
      <c r="AC40" s="134">
        <f>SUM(AC8:AC38)</f>
        <v>300</v>
      </c>
      <c r="AD40" s="4"/>
      <c r="AE40" s="133" t="s">
        <v>36</v>
      </c>
      <c r="AF40" s="134">
        <f>SUM(AF8:AF38)</f>
        <v>1300</v>
      </c>
      <c r="AH40" s="133" t="s">
        <v>36</v>
      </c>
      <c r="AI40" s="134">
        <f>SUM(AI8:AI38)</f>
        <v>0</v>
      </c>
      <c r="AJ40" s="137"/>
      <c r="AK40" s="133" t="s">
        <v>36</v>
      </c>
      <c r="AL40" s="134">
        <f>SUM(AL8:AL38)</f>
        <v>500</v>
      </c>
      <c r="AN40" s="133" t="s">
        <v>36</v>
      </c>
      <c r="AO40" s="134">
        <f>SUM(AO8:AO38)</f>
        <v>500</v>
      </c>
      <c r="AQ40" s="133" t="s">
        <v>36</v>
      </c>
      <c r="AR40" s="134">
        <f>SUM(AR8:AR38)</f>
        <v>100</v>
      </c>
      <c r="AT40" s="133" t="s">
        <v>36</v>
      </c>
      <c r="AU40" s="134">
        <f>SUM(AU8:AU38)</f>
        <v>100</v>
      </c>
      <c r="AW40" s="133" t="s">
        <v>36</v>
      </c>
      <c r="AX40" s="134">
        <f>SUM(AX8:AX38)</f>
        <v>80</v>
      </c>
      <c r="AZ40" s="133" t="s">
        <v>36</v>
      </c>
      <c r="BA40" s="134">
        <f>SUM(BA8:BA38)</f>
        <v>360</v>
      </c>
      <c r="BC40" s="133" t="s">
        <v>36</v>
      </c>
      <c r="BD40" s="134">
        <f>SUM(BD8:BD38)</f>
        <v>0</v>
      </c>
      <c r="BF40" s="95"/>
      <c r="BG40" s="101"/>
      <c r="BH40" s="130"/>
      <c r="BI40" s="130"/>
      <c r="BJ40" s="58"/>
      <c r="BM40" s="96"/>
      <c r="BR40" s="5"/>
      <c r="BS40" s="5"/>
      <c r="BT40" s="5"/>
      <c r="BU40" s="5"/>
      <c r="BV40" s="5"/>
      <c r="BW40" s="5"/>
      <c r="BX40" s="5"/>
      <c r="BY40" s="5"/>
    </row>
    <row r="41" ht="29.25" customHeight="1">
      <c r="A41" s="132"/>
      <c r="B41" s="2"/>
      <c r="C41" s="2"/>
      <c r="D41" s="2"/>
      <c r="E41" s="2"/>
      <c r="F41" s="2"/>
      <c r="G41" s="2"/>
      <c r="H41" s="2"/>
      <c r="I41" s="2"/>
      <c r="J41" s="2"/>
      <c r="K41" s="2"/>
      <c r="L41" s="2"/>
      <c r="M41" s="2"/>
      <c r="N41" s="2"/>
      <c r="O41" s="2"/>
      <c r="P41" s="2"/>
      <c r="Q41" s="2"/>
      <c r="R41" s="2"/>
      <c r="S41" s="138"/>
      <c r="T41" s="138"/>
      <c r="U41" s="138"/>
      <c r="V41" s="136"/>
      <c r="W41" s="136"/>
      <c r="X41" s="136"/>
      <c r="Y41" s="139"/>
      <c r="AB41" s="4"/>
      <c r="AC41" s="4"/>
      <c r="AD41" s="4"/>
      <c r="AE41" s="4"/>
      <c r="AF41" s="4"/>
      <c r="AH41" s="137"/>
      <c r="AI41" s="137"/>
      <c r="AJ41" s="137"/>
      <c r="AN41" s="39"/>
      <c r="AO41" s="39"/>
      <c r="AP41" s="39"/>
      <c r="AQ41" s="39"/>
      <c r="AR41" s="39"/>
      <c r="AS41" s="39"/>
      <c r="AT41" s="39"/>
      <c r="AU41" s="39"/>
      <c r="AV41" s="39"/>
      <c r="AW41" s="39"/>
      <c r="AX41" s="95"/>
      <c r="AY41" s="95"/>
      <c r="AZ41" s="95"/>
      <c r="BA41" s="95"/>
      <c r="BB41" s="95"/>
      <c r="BC41" s="95"/>
      <c r="BD41" s="95"/>
      <c r="BE41" s="95"/>
      <c r="BF41" s="95"/>
      <c r="BG41" s="101"/>
      <c r="BH41" s="130"/>
      <c r="BI41" s="130"/>
      <c r="BJ41" s="58"/>
      <c r="BR41" s="39"/>
      <c r="BS41" s="39"/>
      <c r="BT41" s="39"/>
      <c r="BU41" s="39"/>
      <c r="BV41" s="39"/>
      <c r="BW41" s="39"/>
      <c r="BX41" s="39"/>
      <c r="BY41" s="39"/>
    </row>
    <row r="42" ht="27.75" customHeight="1">
      <c r="A42" s="132"/>
      <c r="B42" s="2"/>
      <c r="C42" s="140"/>
      <c r="D42" s="141"/>
      <c r="E42" s="141"/>
      <c r="F42" s="141"/>
      <c r="G42" s="141"/>
      <c r="H42" s="141"/>
      <c r="I42" s="141"/>
      <c r="J42" s="141"/>
      <c r="K42" s="142"/>
      <c r="L42" s="143" t="s">
        <v>37</v>
      </c>
      <c r="M42" s="144"/>
      <c r="N42" s="2"/>
      <c r="O42" s="2"/>
      <c r="P42" s="2"/>
      <c r="Q42" s="2"/>
      <c r="R42" s="145" t="s">
        <v>38</v>
      </c>
      <c r="S42" s="146"/>
      <c r="T42" s="146"/>
      <c r="U42" s="147"/>
      <c r="V42" s="148"/>
      <c r="W42" s="148"/>
      <c r="X42" s="148"/>
      <c r="Y42" s="148"/>
      <c r="Z42" s="148"/>
      <c r="AA42" s="148"/>
      <c r="AB42" s="149"/>
      <c r="AC42" s="149"/>
      <c r="AD42" s="149"/>
      <c r="AE42" s="149"/>
      <c r="AF42" s="149"/>
      <c r="AG42" s="149"/>
      <c r="AH42" s="149"/>
      <c r="AI42" s="149"/>
      <c r="AJ42" s="149"/>
      <c r="AN42" s="39"/>
      <c r="AX42" s="95"/>
      <c r="AY42" s="95"/>
      <c r="AZ42" s="95"/>
      <c r="BA42" s="95"/>
      <c r="BB42" s="95"/>
      <c r="BC42" s="95"/>
      <c r="BD42" s="95"/>
      <c r="BE42" s="95"/>
      <c r="BF42" s="95"/>
      <c r="BG42" s="101"/>
      <c r="BH42" s="130"/>
      <c r="BI42" s="130"/>
      <c r="BJ42" s="58"/>
      <c r="BR42" s="39"/>
      <c r="BS42" s="39"/>
      <c r="BT42" s="39"/>
      <c r="BU42" s="39"/>
      <c r="BV42" s="39"/>
      <c r="BW42" s="39"/>
      <c r="BX42" s="39"/>
      <c r="BY42" s="39"/>
    </row>
    <row r="43" ht="27.75" customHeight="1">
      <c r="A43" s="132"/>
      <c r="B43" s="2"/>
      <c r="C43" s="142"/>
      <c r="D43" s="133" t="s">
        <v>39</v>
      </c>
      <c r="E43" s="150">
        <f>MONEY!D203+MONEY!I205</f>
        <v>42016</v>
      </c>
      <c r="F43" s="151" t="s">
        <v>40</v>
      </c>
      <c r="G43" s="133" t="s">
        <v>41</v>
      </c>
      <c r="H43" s="133" t="s">
        <v>42</v>
      </c>
      <c r="I43" s="133" t="s">
        <v>43</v>
      </c>
      <c r="J43" s="2"/>
      <c r="K43" s="142"/>
      <c r="L43" s="152"/>
      <c r="M43" s="153" t="s">
        <v>44</v>
      </c>
      <c r="N43" s="2"/>
      <c r="O43" s="154" t="s">
        <v>45</v>
      </c>
      <c r="P43" s="154" t="s">
        <v>46</v>
      </c>
      <c r="Q43" s="2"/>
      <c r="R43" s="155" t="s">
        <v>47</v>
      </c>
      <c r="S43" s="146"/>
      <c r="T43" s="146"/>
      <c r="U43" s="147"/>
      <c r="V43" s="149"/>
      <c r="W43" s="149" t="s">
        <v>0</v>
      </c>
      <c r="X43" s="149"/>
      <c r="Y43" s="149"/>
      <c r="Z43" s="149"/>
      <c r="AA43" s="149"/>
      <c r="AN43" s="39"/>
      <c r="AX43" s="95"/>
      <c r="AY43" s="95"/>
      <c r="AZ43" s="95"/>
      <c r="BA43" s="95"/>
      <c r="BB43" s="95"/>
      <c r="BC43" s="95"/>
      <c r="BD43" s="95"/>
      <c r="BE43" s="95"/>
      <c r="BF43" s="95"/>
      <c r="BG43" s="156"/>
      <c r="BH43" s="157"/>
      <c r="BI43" s="157"/>
      <c r="BJ43" s="158"/>
      <c r="BR43" s="39"/>
      <c r="BS43" s="39"/>
      <c r="BT43" s="39"/>
      <c r="BU43" s="39"/>
      <c r="BV43" s="39"/>
      <c r="BW43" s="39"/>
      <c r="BX43" s="39"/>
      <c r="BY43" s="39"/>
    </row>
    <row r="44" ht="44.25" customHeight="1">
      <c r="A44" s="132"/>
      <c r="B44" s="2"/>
      <c r="C44" s="142"/>
      <c r="D44" s="133" t="s">
        <v>48</v>
      </c>
      <c r="E44" s="159">
        <f>MONEY!N186</f>
        <v>23728.5</v>
      </c>
      <c r="F44" s="133">
        <f>SUM(F39+I39+L39+O39+R39+U39+X39+AA39+AD39+AG39+AJ39+AM39)</f>
        <v>5361.5</v>
      </c>
      <c r="G44" s="160">
        <v>0.0</v>
      </c>
      <c r="H44" s="133" t="str">
        <f>FOURNISSEURS!J124</f>
        <v>#REF!</v>
      </c>
      <c r="I44" s="133">
        <v>0.0</v>
      </c>
      <c r="J44" s="2"/>
      <c r="K44" s="142"/>
      <c r="L44" s="161"/>
      <c r="M44" s="153" t="s">
        <v>49</v>
      </c>
      <c r="N44" s="2"/>
      <c r="O44" s="162" t="s">
        <v>50</v>
      </c>
      <c r="P44" s="162">
        <v>5.6919288E7</v>
      </c>
      <c r="Q44" s="2"/>
      <c r="R44" s="163" t="s">
        <v>2</v>
      </c>
      <c r="S44" s="164" t="s">
        <v>51</v>
      </c>
      <c r="T44" s="165" t="s">
        <v>52</v>
      </c>
      <c r="U44" s="166" t="s">
        <v>53</v>
      </c>
      <c r="V44" s="149"/>
      <c r="W44" s="149"/>
      <c r="X44" s="149"/>
      <c r="Y44" s="149"/>
      <c r="Z44" s="149"/>
      <c r="AK44" s="39"/>
      <c r="AL44" s="39"/>
      <c r="AN44" s="39"/>
      <c r="AX44" s="95"/>
      <c r="AY44" s="95"/>
      <c r="AZ44" s="95"/>
      <c r="BA44" s="95"/>
      <c r="BB44" s="95"/>
      <c r="BC44" s="95"/>
      <c r="BD44" s="95"/>
      <c r="BE44" s="95"/>
      <c r="BF44" s="95"/>
      <c r="BG44" s="156"/>
      <c r="BH44" s="157"/>
      <c r="BI44" s="157"/>
      <c r="BJ44" s="158"/>
      <c r="BR44" s="39"/>
      <c r="BS44" s="39"/>
      <c r="BT44" s="39"/>
      <c r="BU44" s="39"/>
      <c r="BV44" s="39"/>
      <c r="BW44" s="39"/>
      <c r="BX44" s="39"/>
      <c r="BY44" s="39"/>
    </row>
    <row r="45" ht="27.75" customHeight="1">
      <c r="A45" s="132"/>
      <c r="B45" s="2"/>
      <c r="C45" s="142"/>
      <c r="D45" s="133" t="s">
        <v>54</v>
      </c>
      <c r="E45" s="133">
        <f>SUM(E40+H40+K40+N40+Q40+T40+W40+Z40+AC40+AF40+AI40+AL40+BG45+AO40+AR40+AU40+AX40+BA40+BD40)</f>
        <v>10521.5</v>
      </c>
      <c r="F45" s="133" t="s">
        <v>55</v>
      </c>
      <c r="G45" s="167">
        <f>E45-F44</f>
        <v>5160</v>
      </c>
      <c r="H45" s="2"/>
      <c r="I45" s="2"/>
      <c r="J45" s="2"/>
      <c r="K45" s="142"/>
      <c r="L45" s="168"/>
      <c r="M45" s="153" t="s">
        <v>56</v>
      </c>
      <c r="N45" s="2"/>
      <c r="O45" s="169" t="s">
        <v>3</v>
      </c>
      <c r="P45" s="162">
        <v>5.8118291E7</v>
      </c>
      <c r="Q45" s="2"/>
      <c r="R45" s="170">
        <v>46023.0</v>
      </c>
      <c r="S45" s="171"/>
      <c r="T45" s="171"/>
      <c r="U45" s="172"/>
      <c r="V45" s="173"/>
      <c r="W45" s="174"/>
      <c r="Y45" s="175"/>
      <c r="Z45" s="176"/>
      <c r="AK45" s="39"/>
      <c r="AL45" s="39"/>
      <c r="AN45" s="39"/>
      <c r="AO45" s="39"/>
      <c r="AP45" s="39"/>
      <c r="AQ45" s="39"/>
      <c r="AR45" s="39"/>
      <c r="AS45" s="39"/>
      <c r="AT45" s="39"/>
      <c r="AU45" s="39"/>
      <c r="AV45" s="39"/>
      <c r="AW45" s="39"/>
      <c r="AX45" s="177"/>
      <c r="AY45" s="177"/>
      <c r="AZ45" s="177"/>
      <c r="BA45" s="177"/>
      <c r="BB45" s="177"/>
      <c r="BC45" s="177"/>
      <c r="BD45" s="177"/>
      <c r="BE45" s="177"/>
      <c r="BF45" s="177"/>
      <c r="BG45" s="177">
        <f>SUM(BH7:BH43)</f>
        <v>4410</v>
      </c>
      <c r="BR45" s="39"/>
      <c r="BS45" s="39"/>
      <c r="BT45" s="39"/>
      <c r="BU45" s="39"/>
      <c r="BV45" s="39"/>
      <c r="BW45" s="39"/>
      <c r="BX45" s="39"/>
      <c r="BY45" s="39"/>
    </row>
    <row r="46" ht="27.75" customHeight="1">
      <c r="A46" s="132"/>
      <c r="B46" s="2"/>
      <c r="C46" s="142"/>
      <c r="D46" s="133" t="s">
        <v>57</v>
      </c>
      <c r="E46" s="178">
        <f>(E43+MONEY!D202+MONEY!I204)-(E44+E45)-P55</f>
        <v>12578</v>
      </c>
      <c r="F46" s="2"/>
      <c r="G46" s="2"/>
      <c r="H46" s="2"/>
      <c r="I46" s="2"/>
      <c r="J46" s="2"/>
      <c r="K46" s="142"/>
      <c r="L46" s="179"/>
      <c r="M46" s="153" t="s">
        <v>58</v>
      </c>
      <c r="N46" s="2"/>
      <c r="O46" s="162" t="s">
        <v>4</v>
      </c>
      <c r="P46" s="162">
        <v>5.81743E7</v>
      </c>
      <c r="Q46" s="2"/>
      <c r="R46" s="170">
        <v>46024.0</v>
      </c>
      <c r="S46" s="171"/>
      <c r="T46" s="171"/>
      <c r="U46" s="172"/>
      <c r="V46" s="173"/>
      <c r="W46" s="174"/>
      <c r="Y46" s="175"/>
      <c r="Z46" s="176"/>
      <c r="AK46" s="5"/>
      <c r="AL46" s="5"/>
      <c r="AN46" s="5"/>
      <c r="AO46" s="5"/>
      <c r="AP46" s="5"/>
      <c r="AQ46" s="5"/>
      <c r="AR46" s="5"/>
      <c r="AS46" s="5"/>
      <c r="AT46" s="5"/>
      <c r="AU46" s="5"/>
      <c r="AV46" s="5"/>
      <c r="AW46" s="5"/>
      <c r="AX46" s="5"/>
      <c r="AY46" s="5"/>
      <c r="AZ46" s="5"/>
      <c r="BA46" s="5"/>
      <c r="BB46" s="5"/>
      <c r="BC46" s="5"/>
      <c r="BD46" s="5"/>
      <c r="BE46" s="5"/>
      <c r="BF46" s="5"/>
      <c r="BG46" s="5"/>
      <c r="BH46" s="5"/>
      <c r="BI46" s="5"/>
      <c r="BO46" s="5"/>
      <c r="BP46" s="5"/>
      <c r="BQ46" s="5"/>
      <c r="BR46" s="5"/>
      <c r="BS46" s="5"/>
      <c r="BT46" s="5"/>
      <c r="BU46" s="5"/>
      <c r="BV46" s="5"/>
      <c r="BW46" s="5"/>
      <c r="BX46" s="5"/>
      <c r="BY46" s="5"/>
    </row>
    <row r="47" ht="30.0" customHeight="1">
      <c r="A47" s="132"/>
      <c r="B47" s="2"/>
      <c r="C47" s="142"/>
      <c r="D47" s="4"/>
      <c r="E47" s="4"/>
      <c r="F47" s="2"/>
      <c r="G47" s="2"/>
      <c r="H47" s="2"/>
      <c r="I47" s="2"/>
      <c r="J47" s="2"/>
      <c r="K47" s="142"/>
      <c r="L47" s="180"/>
      <c r="M47" s="181" t="s">
        <v>59</v>
      </c>
      <c r="N47" s="2"/>
      <c r="O47" s="162" t="s">
        <v>60</v>
      </c>
      <c r="P47" s="162">
        <v>5.0400451E7</v>
      </c>
      <c r="Q47" s="2"/>
      <c r="R47" s="170">
        <v>46025.0</v>
      </c>
      <c r="S47" s="171"/>
      <c r="T47" s="171"/>
      <c r="U47" s="172"/>
      <c r="V47" s="173"/>
      <c r="W47" s="174"/>
      <c r="Y47" s="175"/>
      <c r="Z47" s="176"/>
    </row>
    <row r="48" ht="37.5" customHeight="1">
      <c r="A48" s="132"/>
      <c r="B48" s="2"/>
      <c r="C48" s="142"/>
      <c r="D48" s="2"/>
      <c r="E48" s="2"/>
      <c r="F48" s="182"/>
      <c r="G48" s="2"/>
      <c r="H48" s="2"/>
      <c r="I48" s="2"/>
      <c r="J48" s="2"/>
      <c r="K48" s="142"/>
      <c r="L48" s="183"/>
      <c r="M48" s="184" t="s">
        <v>61</v>
      </c>
      <c r="N48" s="2"/>
      <c r="O48" s="185" t="s">
        <v>15</v>
      </c>
      <c r="P48" s="162">
        <v>2.5952917E7</v>
      </c>
      <c r="Q48" s="2"/>
      <c r="R48" s="170">
        <v>46026.0</v>
      </c>
      <c r="S48" s="186"/>
      <c r="T48" s="186"/>
      <c r="U48" s="172"/>
      <c r="V48" s="173"/>
      <c r="W48" s="174"/>
      <c r="Y48" s="187"/>
      <c r="Z48" s="176"/>
    </row>
    <row r="49" ht="30.0" customHeight="1">
      <c r="A49" s="132"/>
      <c r="B49" s="2"/>
      <c r="C49" s="142"/>
      <c r="D49" s="2"/>
      <c r="E49" s="182"/>
      <c r="F49" s="2"/>
      <c r="G49" s="2"/>
      <c r="H49" s="2"/>
      <c r="I49" s="2"/>
      <c r="J49" s="2"/>
      <c r="K49" s="142"/>
      <c r="L49" s="188"/>
      <c r="M49" s="184" t="s">
        <v>62</v>
      </c>
      <c r="N49" s="2"/>
      <c r="O49" s="162" t="s">
        <v>63</v>
      </c>
      <c r="P49" s="162">
        <v>2.6801753E7</v>
      </c>
      <c r="Q49" s="2"/>
      <c r="R49" s="170">
        <v>46027.0</v>
      </c>
      <c r="S49" s="171"/>
      <c r="T49" s="171"/>
      <c r="U49" s="172"/>
      <c r="V49" s="174"/>
      <c r="W49" s="174"/>
      <c r="Y49" s="175"/>
      <c r="Z49" s="176"/>
    </row>
    <row r="50" ht="27.75" customHeight="1">
      <c r="A50" s="132"/>
      <c r="B50" s="2"/>
      <c r="C50" s="189"/>
      <c r="D50" s="190"/>
      <c r="E50" s="190"/>
      <c r="F50" s="190"/>
      <c r="G50" s="190"/>
      <c r="H50" s="190"/>
      <c r="I50" s="190"/>
      <c r="J50" s="190"/>
      <c r="K50" s="142"/>
      <c r="L50" s="2"/>
      <c r="M50" s="2"/>
      <c r="N50" s="2"/>
      <c r="O50" s="162" t="s">
        <v>64</v>
      </c>
      <c r="P50" s="162">
        <v>2.213047E7</v>
      </c>
      <c r="Q50" s="2"/>
      <c r="R50" s="170">
        <v>46028.0</v>
      </c>
      <c r="S50" s="171"/>
      <c r="T50" s="171"/>
      <c r="U50" s="172"/>
      <c r="V50" s="173"/>
      <c r="W50" s="174"/>
      <c r="Y50" s="175"/>
      <c r="Z50" s="176"/>
    </row>
    <row r="51" ht="27.75" customHeight="1">
      <c r="A51" s="132"/>
      <c r="B51" s="2"/>
      <c r="C51" s="2" t="s">
        <v>65</v>
      </c>
      <c r="D51" s="2"/>
      <c r="E51" s="2"/>
      <c r="F51" s="2"/>
      <c r="G51" s="2"/>
      <c r="H51" s="2"/>
      <c r="I51" s="2"/>
      <c r="J51" s="2"/>
      <c r="K51" s="2"/>
      <c r="L51" s="2"/>
      <c r="M51" s="2"/>
      <c r="N51" s="2"/>
      <c r="O51" s="162" t="s">
        <v>9</v>
      </c>
      <c r="P51" s="162">
        <v>5.8084001E7</v>
      </c>
      <c r="Q51" s="2"/>
      <c r="R51" s="170">
        <v>46029.0</v>
      </c>
      <c r="S51" s="171"/>
      <c r="T51" s="171"/>
      <c r="U51" s="172"/>
      <c r="V51" s="173"/>
      <c r="W51" s="174"/>
      <c r="Y51" s="175"/>
      <c r="Z51" s="176"/>
    </row>
    <row r="52" ht="33.75" customHeight="1">
      <c r="A52" s="132"/>
      <c r="B52" s="2"/>
      <c r="C52" s="2"/>
      <c r="D52" s="2"/>
      <c r="E52" s="2"/>
      <c r="F52" s="2"/>
      <c r="G52" s="2"/>
      <c r="H52" s="2" t="s">
        <v>0</v>
      </c>
      <c r="I52" s="2"/>
      <c r="J52" s="2"/>
      <c r="K52" s="2"/>
      <c r="L52" s="2"/>
      <c r="M52" s="2"/>
      <c r="N52" s="2"/>
      <c r="O52" s="185" t="s">
        <v>17</v>
      </c>
      <c r="P52" s="162">
        <v>5.5617434E7</v>
      </c>
      <c r="Q52" s="2"/>
      <c r="R52" s="170">
        <v>46030.0</v>
      </c>
      <c r="S52" s="171"/>
      <c r="T52" s="171"/>
      <c r="U52" s="172"/>
      <c r="V52" s="191"/>
      <c r="W52" s="174"/>
      <c r="Y52" s="175"/>
      <c r="Z52" s="176"/>
    </row>
    <row r="53" ht="27.75" customHeight="1">
      <c r="A53" s="132"/>
      <c r="B53" s="2"/>
      <c r="C53" s="2"/>
      <c r="D53" s="2"/>
      <c r="E53" s="2"/>
      <c r="F53" s="2"/>
      <c r="G53" s="2"/>
      <c r="H53" s="2"/>
      <c r="I53" s="2"/>
      <c r="J53" s="2"/>
      <c r="K53" s="2"/>
      <c r="L53" s="2"/>
      <c r="M53" s="2"/>
      <c r="N53" s="2"/>
      <c r="O53" s="162" t="s">
        <v>66</v>
      </c>
      <c r="P53" s="162">
        <v>2.9639118E7</v>
      </c>
      <c r="Q53" s="2"/>
      <c r="R53" s="170">
        <v>46031.0</v>
      </c>
      <c r="S53" s="171"/>
      <c r="T53" s="171"/>
      <c r="U53" s="172"/>
      <c r="V53" s="173"/>
      <c r="W53" s="174"/>
      <c r="Y53" s="175"/>
      <c r="Z53" s="176"/>
    </row>
    <row r="54" ht="28.5" customHeight="1">
      <c r="A54" s="132"/>
      <c r="B54" s="2"/>
      <c r="C54" s="2"/>
      <c r="D54" s="2"/>
      <c r="E54" s="2"/>
      <c r="F54" s="2"/>
      <c r="G54" s="2"/>
      <c r="H54" s="2"/>
      <c r="I54" s="2"/>
      <c r="J54" s="2"/>
      <c r="K54" s="2"/>
      <c r="L54" s="2"/>
      <c r="M54" s="2"/>
      <c r="N54" s="2"/>
      <c r="O54" s="162" t="s">
        <v>67</v>
      </c>
      <c r="P54" s="162">
        <v>5.6095822E7</v>
      </c>
      <c r="Q54" s="2"/>
      <c r="R54" s="170">
        <v>46032.0</v>
      </c>
      <c r="S54" s="171"/>
      <c r="T54" s="171"/>
      <c r="U54" s="172"/>
      <c r="V54" s="173"/>
      <c r="W54" s="174"/>
      <c r="Y54" s="175"/>
      <c r="Z54" s="176"/>
    </row>
    <row r="55" ht="24.0" customHeight="1">
      <c r="A55" s="132"/>
      <c r="B55" s="2"/>
      <c r="C55" s="2"/>
      <c r="D55" s="192" t="s">
        <v>68</v>
      </c>
      <c r="E55" s="147"/>
      <c r="F55" s="2"/>
      <c r="G55" s="182" t="s">
        <v>69</v>
      </c>
      <c r="H55" s="2"/>
      <c r="I55" s="2"/>
      <c r="J55" s="2"/>
      <c r="K55" s="2"/>
      <c r="L55" s="2"/>
      <c r="M55" s="2"/>
      <c r="N55" s="2"/>
      <c r="O55" s="162" t="s">
        <v>53</v>
      </c>
      <c r="P55" s="162">
        <v>0.0</v>
      </c>
      <c r="Q55" s="2"/>
      <c r="R55" s="170">
        <v>46033.0</v>
      </c>
      <c r="S55" s="193"/>
      <c r="T55" s="193"/>
      <c r="U55" s="172"/>
      <c r="V55" s="173"/>
      <c r="W55" s="174"/>
      <c r="Y55" s="187"/>
      <c r="Z55" s="176"/>
    </row>
    <row r="56" ht="33.0" customHeight="1">
      <c r="A56" s="132"/>
      <c r="B56" s="2"/>
      <c r="C56" s="2"/>
      <c r="D56" s="194" t="s">
        <v>70</v>
      </c>
      <c r="E56" s="195">
        <v>2850.0</v>
      </c>
      <c r="F56" s="2"/>
      <c r="G56" s="2">
        <v>1800.0</v>
      </c>
      <c r="H56" s="2"/>
      <c r="I56" s="2"/>
      <c r="J56" s="2"/>
      <c r="K56" s="2"/>
      <c r="L56" s="2"/>
      <c r="M56" s="2"/>
      <c r="N56" s="2"/>
      <c r="O56" s="162" t="s">
        <v>12</v>
      </c>
      <c r="P56" s="162">
        <v>2.3970899E7</v>
      </c>
      <c r="Q56" s="2"/>
      <c r="R56" s="170">
        <v>46034.0</v>
      </c>
      <c r="S56" s="171"/>
      <c r="T56" s="171"/>
      <c r="U56" s="172"/>
      <c r="V56" s="173"/>
      <c r="W56" s="174"/>
      <c r="Y56" s="175"/>
      <c r="Z56" s="176"/>
    </row>
    <row r="57" ht="27.75" customHeight="1">
      <c r="A57" s="132"/>
      <c r="B57" s="2"/>
      <c r="C57" s="2"/>
      <c r="D57" s="196" t="s">
        <v>71</v>
      </c>
      <c r="E57" s="197">
        <v>900.0</v>
      </c>
      <c r="F57" s="198"/>
      <c r="G57" s="2">
        <v>2500.0</v>
      </c>
      <c r="H57" s="2"/>
      <c r="I57" s="2"/>
      <c r="J57" s="2"/>
      <c r="K57" s="2"/>
      <c r="L57" s="2"/>
      <c r="M57" s="2"/>
      <c r="N57" s="2"/>
      <c r="O57" s="162" t="s">
        <v>10</v>
      </c>
      <c r="P57" s="162">
        <v>2.3621722E7</v>
      </c>
      <c r="Q57" s="2"/>
      <c r="R57" s="170">
        <v>46035.0</v>
      </c>
      <c r="S57" s="171"/>
      <c r="T57" s="171"/>
      <c r="U57" s="172"/>
      <c r="V57" s="173"/>
      <c r="W57" s="174"/>
      <c r="Y57" s="175"/>
      <c r="Z57" s="176"/>
    </row>
    <row r="58" ht="33.0" customHeight="1">
      <c r="A58" s="132"/>
      <c r="B58" s="2"/>
      <c r="C58" s="2"/>
      <c r="D58" s="196" t="s">
        <v>72</v>
      </c>
      <c r="E58" s="199">
        <v>300.0</v>
      </c>
      <c r="F58" s="2"/>
      <c r="G58" s="2">
        <v>3000.0</v>
      </c>
      <c r="H58" s="2"/>
      <c r="I58" s="2"/>
      <c r="J58" s="2"/>
      <c r="K58" s="2"/>
      <c r="L58" s="2"/>
      <c r="M58" s="2"/>
      <c r="N58" s="2"/>
      <c r="O58" s="200" t="s">
        <v>13</v>
      </c>
      <c r="P58" s="200">
        <v>5.3679371E7</v>
      </c>
      <c r="Q58" s="2"/>
      <c r="R58" s="170">
        <v>46036.0</v>
      </c>
      <c r="S58" s="171"/>
      <c r="T58" s="201">
        <v>6300.0</v>
      </c>
      <c r="U58" s="172"/>
      <c r="V58" s="173"/>
      <c r="W58" s="174"/>
      <c r="Y58" s="175"/>
      <c r="Z58" s="176"/>
    </row>
    <row r="59" ht="36.0" customHeight="1">
      <c r="A59" s="132"/>
      <c r="B59" s="2"/>
      <c r="C59" s="2"/>
      <c r="D59" s="196" t="s">
        <v>73</v>
      </c>
      <c r="E59" s="197">
        <v>1000.0</v>
      </c>
      <c r="F59" s="2"/>
      <c r="G59" s="2"/>
      <c r="H59" s="2"/>
      <c r="I59" s="2"/>
      <c r="J59" s="2"/>
      <c r="K59" s="2"/>
      <c r="L59" s="2"/>
      <c r="M59" s="2"/>
      <c r="N59" s="2"/>
      <c r="O59" s="185" t="s">
        <v>14</v>
      </c>
      <c r="P59" s="162">
        <v>9.063086E7</v>
      </c>
      <c r="Q59" s="2"/>
      <c r="R59" s="170">
        <v>46037.0</v>
      </c>
      <c r="S59" s="171"/>
      <c r="T59" s="171"/>
      <c r="U59" s="172"/>
      <c r="V59" s="173"/>
      <c r="W59" s="174"/>
      <c r="Y59" s="175"/>
      <c r="Z59" s="176"/>
    </row>
    <row r="60" ht="27.75" customHeight="1">
      <c r="A60" s="132"/>
      <c r="B60" s="2"/>
      <c r="C60" s="2"/>
      <c r="D60" s="196"/>
      <c r="E60" s="202"/>
      <c r="F60" s="2"/>
      <c r="G60" s="2"/>
      <c r="H60" s="2"/>
      <c r="I60" s="2"/>
      <c r="J60" s="2"/>
      <c r="K60" s="2"/>
      <c r="L60" s="2"/>
      <c r="M60" s="2"/>
      <c r="N60" s="2"/>
      <c r="O60" s="203" t="s">
        <v>74</v>
      </c>
      <c r="P60" s="204">
        <v>5.4052794E7</v>
      </c>
      <c r="Q60" s="2"/>
      <c r="R60" s="170">
        <v>46038.0</v>
      </c>
      <c r="S60" s="171"/>
      <c r="T60" s="171"/>
      <c r="U60" s="172"/>
      <c r="V60" s="173"/>
      <c r="W60" s="174"/>
      <c r="Y60" s="175"/>
      <c r="Z60" s="176"/>
    </row>
    <row r="61" ht="32.25" customHeight="1">
      <c r="A61" s="132" t="s">
        <v>75</v>
      </c>
      <c r="B61" s="2"/>
      <c r="C61" s="2"/>
      <c r="D61" s="205" t="s">
        <v>76</v>
      </c>
      <c r="E61" s="197">
        <v>1000.0</v>
      </c>
      <c r="F61" s="2"/>
      <c r="G61" s="2"/>
      <c r="H61" s="2"/>
      <c r="I61" s="2"/>
      <c r="J61" s="2"/>
      <c r="K61" s="2"/>
      <c r="L61" s="2"/>
      <c r="M61" s="2"/>
      <c r="N61" s="2"/>
      <c r="Q61" s="2"/>
      <c r="R61" s="170">
        <v>46039.0</v>
      </c>
      <c r="S61" s="171"/>
      <c r="T61" s="171"/>
      <c r="U61" s="172"/>
      <c r="V61" s="173"/>
      <c r="W61" s="174"/>
      <c r="Y61" s="175"/>
      <c r="Z61" s="176"/>
    </row>
    <row r="62" ht="32.25" customHeight="1">
      <c r="A62" s="206"/>
      <c r="B62" s="207"/>
      <c r="C62" s="2"/>
      <c r="D62" s="205"/>
      <c r="E62" s="202"/>
      <c r="F62" s="2"/>
      <c r="G62" s="2">
        <v>7300.0</v>
      </c>
      <c r="H62" s="2"/>
      <c r="I62" s="2"/>
      <c r="J62" s="2"/>
      <c r="K62" s="2"/>
      <c r="L62" s="2"/>
      <c r="M62" s="2"/>
      <c r="N62" s="2"/>
      <c r="Q62" s="2"/>
      <c r="R62" s="170">
        <v>46040.0</v>
      </c>
      <c r="S62" s="186"/>
      <c r="T62" s="186"/>
      <c r="U62" s="172"/>
      <c r="V62" s="173"/>
      <c r="W62" s="174"/>
      <c r="Y62" s="187"/>
      <c r="Z62" s="176"/>
    </row>
    <row r="63" ht="32.25" customHeight="1">
      <c r="A63" s="132"/>
      <c r="B63" s="2"/>
      <c r="C63" s="2"/>
      <c r="D63" s="205" t="s">
        <v>77</v>
      </c>
      <c r="E63" s="197">
        <v>200.0</v>
      </c>
      <c r="F63" s="2"/>
      <c r="G63" s="2"/>
      <c r="H63" s="2"/>
      <c r="I63" s="2"/>
      <c r="J63" s="2"/>
      <c r="K63" s="2"/>
      <c r="L63" s="2"/>
      <c r="M63" s="2"/>
      <c r="N63" s="2"/>
      <c r="O63" s="2"/>
      <c r="P63" s="2"/>
      <c r="Q63" s="2"/>
      <c r="R63" s="170">
        <v>46041.0</v>
      </c>
      <c r="S63" s="171"/>
      <c r="T63" s="171"/>
      <c r="U63" s="172"/>
      <c r="V63" s="173"/>
      <c r="W63" s="174"/>
      <c r="Y63" s="175"/>
      <c r="Z63" s="176"/>
    </row>
    <row r="64" ht="27.75" customHeight="1">
      <c r="A64" s="132"/>
      <c r="B64" s="2"/>
      <c r="C64" s="2"/>
      <c r="D64" s="205" t="s">
        <v>78</v>
      </c>
      <c r="E64" s="197">
        <v>50.0</v>
      </c>
      <c r="F64" s="2"/>
      <c r="G64" s="2"/>
      <c r="H64" s="2"/>
      <c r="I64" s="2"/>
      <c r="J64" s="2"/>
      <c r="K64" s="2"/>
      <c r="L64" s="2"/>
      <c r="M64" s="2"/>
      <c r="N64" s="2"/>
      <c r="O64" s="2"/>
      <c r="P64" s="2"/>
      <c r="Q64" s="2"/>
      <c r="R64" s="170">
        <v>46042.0</v>
      </c>
      <c r="S64" s="171"/>
      <c r="T64" s="171"/>
      <c r="U64" s="172"/>
      <c r="V64" s="208"/>
      <c r="W64" s="174"/>
      <c r="Y64" s="175"/>
      <c r="Z64" s="176"/>
    </row>
    <row r="65" ht="27.75" customHeight="1">
      <c r="A65" s="132"/>
      <c r="B65" s="2"/>
      <c r="C65" s="2"/>
      <c r="D65" s="205" t="s">
        <v>79</v>
      </c>
      <c r="E65" s="199">
        <v>2500.0</v>
      </c>
      <c r="F65" s="2"/>
      <c r="G65" s="2"/>
      <c r="H65" s="2"/>
      <c r="I65" s="2"/>
      <c r="J65" s="2"/>
      <c r="K65" s="2"/>
      <c r="L65" s="2"/>
      <c r="M65" s="2"/>
      <c r="N65" s="2"/>
      <c r="O65" s="2"/>
      <c r="P65" s="2"/>
      <c r="Q65" s="2"/>
      <c r="R65" s="170">
        <v>46043.0</v>
      </c>
      <c r="S65" s="171"/>
      <c r="T65" s="171"/>
      <c r="U65" s="172"/>
      <c r="V65" s="173"/>
      <c r="W65" s="174"/>
      <c r="Y65" s="175"/>
      <c r="Z65" s="176"/>
    </row>
    <row r="66" ht="27.75" customHeight="1">
      <c r="A66" s="132"/>
      <c r="B66" s="2"/>
      <c r="C66" s="2"/>
      <c r="D66" s="209" t="s">
        <v>80</v>
      </c>
      <c r="E66" s="210">
        <v>2700.0</v>
      </c>
      <c r="F66" s="2"/>
      <c r="G66" s="2"/>
      <c r="H66" s="2"/>
      <c r="I66" s="182"/>
      <c r="J66" s="2"/>
      <c r="K66" s="2"/>
      <c r="L66" s="2"/>
      <c r="M66" s="2"/>
      <c r="N66" s="2"/>
      <c r="O66" s="2"/>
      <c r="P66" s="2"/>
      <c r="Q66" s="2"/>
      <c r="R66" s="170">
        <v>46044.0</v>
      </c>
      <c r="S66" s="171"/>
      <c r="T66" s="171"/>
      <c r="U66" s="172"/>
      <c r="V66" s="173"/>
      <c r="W66" s="174"/>
      <c r="Y66" s="175"/>
      <c r="Z66" s="176"/>
      <c r="AN66" s="96" t="s">
        <v>81</v>
      </c>
    </row>
    <row r="67" ht="27.75" customHeight="1">
      <c r="A67" s="132"/>
      <c r="B67" s="2"/>
      <c r="C67" s="2"/>
      <c r="D67" s="205" t="s">
        <v>82</v>
      </c>
      <c r="E67" s="202">
        <v>200.0</v>
      </c>
      <c r="F67" s="2"/>
      <c r="G67" s="2"/>
      <c r="H67" s="2"/>
      <c r="I67" s="182"/>
      <c r="J67" s="2"/>
      <c r="K67" s="2"/>
      <c r="L67" s="2"/>
      <c r="M67" s="2"/>
      <c r="N67" s="2"/>
      <c r="O67" s="2"/>
      <c r="P67" s="2"/>
      <c r="Q67" s="2"/>
      <c r="R67" s="170">
        <v>46045.0</v>
      </c>
      <c r="S67" s="171"/>
      <c r="T67" s="171"/>
      <c r="U67" s="172"/>
      <c r="V67" s="173"/>
      <c r="W67" s="174"/>
      <c r="Y67" s="175"/>
      <c r="Z67" s="176"/>
      <c r="AN67" s="96" t="s">
        <v>0</v>
      </c>
    </row>
    <row r="68" ht="27.75" customHeight="1">
      <c r="A68" s="132"/>
      <c r="B68" s="2"/>
      <c r="C68" s="2"/>
      <c r="D68" s="205" t="s">
        <v>83</v>
      </c>
      <c r="E68" s="202">
        <v>100.0</v>
      </c>
      <c r="F68" s="2"/>
      <c r="G68" s="2"/>
      <c r="H68" s="2"/>
      <c r="I68" s="2"/>
      <c r="J68" s="2"/>
      <c r="K68" s="2"/>
      <c r="L68" s="2"/>
      <c r="M68" s="2"/>
      <c r="N68" s="2"/>
      <c r="O68" s="2"/>
      <c r="P68" s="2"/>
      <c r="Q68" s="2"/>
      <c r="R68" s="170">
        <v>46046.0</v>
      </c>
      <c r="S68" s="171"/>
      <c r="T68" s="171"/>
      <c r="U68" s="172"/>
      <c r="V68" s="173"/>
      <c r="W68" s="174"/>
      <c r="Y68" s="175"/>
      <c r="Z68" s="176"/>
    </row>
    <row r="69" ht="24.0" customHeight="1">
      <c r="A69" s="132"/>
      <c r="B69" s="2"/>
      <c r="C69" s="2"/>
      <c r="D69" s="209" t="s">
        <v>84</v>
      </c>
      <c r="E69" s="211">
        <v>1000.0</v>
      </c>
      <c r="F69" s="2"/>
      <c r="G69" s="2"/>
      <c r="H69" s="2"/>
      <c r="I69" s="2"/>
      <c r="J69" s="2"/>
      <c r="K69" s="2"/>
      <c r="L69" s="2"/>
      <c r="M69" s="2"/>
      <c r="N69" s="2"/>
      <c r="O69" s="2"/>
      <c r="P69" s="2"/>
      <c r="Q69" s="2"/>
      <c r="R69" s="170">
        <v>46047.0</v>
      </c>
      <c r="S69" s="186"/>
      <c r="T69" s="186"/>
      <c r="U69" s="172"/>
      <c r="V69" s="173"/>
      <c r="W69" s="174"/>
      <c r="Y69" s="187"/>
      <c r="Z69" s="176"/>
    </row>
    <row r="70" ht="27.75" customHeight="1">
      <c r="A70" s="132"/>
      <c r="B70" s="2"/>
      <c r="C70" s="2"/>
      <c r="D70" s="212" t="s">
        <v>85</v>
      </c>
      <c r="E70" s="213">
        <v>1350.0</v>
      </c>
      <c r="F70" s="2" t="s">
        <v>86</v>
      </c>
      <c r="G70" s="2"/>
      <c r="H70" s="2"/>
      <c r="I70" s="2"/>
      <c r="J70" s="2"/>
      <c r="K70" s="2"/>
      <c r="L70" s="2"/>
      <c r="M70" s="2"/>
      <c r="N70" s="2"/>
      <c r="O70" s="2"/>
      <c r="P70" s="2"/>
      <c r="Q70" s="2"/>
      <c r="R70" s="170">
        <v>46048.0</v>
      </c>
      <c r="S70" s="171"/>
      <c r="T70" s="171"/>
      <c r="U70" s="172"/>
      <c r="V70" s="173"/>
      <c r="W70" s="174"/>
      <c r="Y70" s="175"/>
      <c r="Z70" s="176"/>
    </row>
    <row r="71" ht="27.75" customHeight="1">
      <c r="A71" s="132"/>
      <c r="B71" s="2"/>
      <c r="C71" s="2"/>
      <c r="D71" s="214"/>
      <c r="E71" s="215">
        <f>SUM(E56:E70)</f>
        <v>14150</v>
      </c>
      <c r="F71" s="2"/>
      <c r="G71" s="2"/>
      <c r="H71" s="2"/>
      <c r="I71" s="2"/>
      <c r="J71" s="2"/>
      <c r="K71" s="2"/>
      <c r="L71" s="2"/>
      <c r="M71" s="2"/>
      <c r="N71" s="2"/>
      <c r="O71" s="2"/>
      <c r="P71" s="2"/>
      <c r="Q71" s="2"/>
      <c r="R71" s="170">
        <v>46049.0</v>
      </c>
      <c r="S71" s="171"/>
      <c r="T71" s="171"/>
      <c r="U71" s="172"/>
      <c r="V71" s="173"/>
      <c r="W71" s="174"/>
      <c r="Y71" s="175"/>
      <c r="Z71" s="176"/>
    </row>
    <row r="72" ht="27.75" customHeight="1">
      <c r="A72" s="132"/>
      <c r="B72" s="2"/>
      <c r="C72" s="2"/>
      <c r="D72" s="2"/>
      <c r="E72" s="2"/>
      <c r="F72" s="2"/>
      <c r="G72" s="2"/>
      <c r="H72" s="2"/>
      <c r="I72" s="2"/>
      <c r="J72" s="2"/>
      <c r="K72" s="2"/>
      <c r="L72" s="2"/>
      <c r="M72" s="2"/>
      <c r="N72" s="2"/>
      <c r="O72" s="2"/>
      <c r="P72" s="2"/>
      <c r="Q72" s="2"/>
      <c r="R72" s="170">
        <v>46050.0</v>
      </c>
      <c r="S72" s="171"/>
      <c r="T72" s="171"/>
      <c r="U72" s="172"/>
      <c r="V72" s="173"/>
      <c r="W72" s="174"/>
      <c r="Y72" s="175"/>
      <c r="Z72" s="176"/>
    </row>
    <row r="73" ht="27.75" customHeight="1">
      <c r="A73" s="132"/>
      <c r="B73" s="2"/>
      <c r="C73" s="2"/>
      <c r="D73" s="2"/>
      <c r="E73" s="2"/>
      <c r="F73" s="2"/>
      <c r="G73" s="2"/>
      <c r="H73" s="2"/>
      <c r="I73" s="2"/>
      <c r="J73" s="2"/>
      <c r="K73" s="2"/>
      <c r="L73" s="2"/>
      <c r="M73" s="2"/>
      <c r="N73" s="2"/>
      <c r="O73" s="2"/>
      <c r="P73" s="2"/>
      <c r="Q73" s="2"/>
      <c r="R73" s="170">
        <v>46051.0</v>
      </c>
      <c r="S73" s="171"/>
      <c r="T73" s="171"/>
      <c r="U73" s="172"/>
      <c r="V73" s="173"/>
      <c r="W73" s="174"/>
      <c r="Y73" s="175"/>
      <c r="Z73" s="176"/>
    </row>
    <row r="74" ht="27.75" customHeight="1">
      <c r="A74" s="132"/>
      <c r="B74" s="2"/>
      <c r="C74" s="2"/>
      <c r="D74" s="2"/>
      <c r="E74" s="2"/>
      <c r="F74" s="2"/>
      <c r="G74" s="2"/>
      <c r="H74" s="2"/>
      <c r="I74" s="2"/>
      <c r="J74" s="2"/>
      <c r="K74" s="2"/>
      <c r="L74" s="2"/>
      <c r="M74" s="2"/>
      <c r="N74" s="2"/>
      <c r="O74" s="2"/>
      <c r="P74" s="2"/>
      <c r="Q74" s="2"/>
      <c r="R74" s="170">
        <v>46052.0</v>
      </c>
      <c r="S74" s="171"/>
      <c r="T74" s="171"/>
      <c r="U74" s="172"/>
      <c r="V74" s="173"/>
      <c r="W74" s="174"/>
      <c r="Y74" s="175"/>
      <c r="Z74" s="176"/>
    </row>
    <row r="75" ht="27.75" customHeight="1">
      <c r="A75" s="132"/>
      <c r="B75" s="2"/>
      <c r="C75" s="2"/>
      <c r="D75" s="2"/>
      <c r="E75" s="2"/>
      <c r="F75" s="2"/>
      <c r="G75" s="2"/>
      <c r="H75" s="2"/>
      <c r="I75" s="2"/>
      <c r="J75" s="2"/>
      <c r="K75" s="2"/>
      <c r="L75" s="2"/>
      <c r="M75" s="2"/>
      <c r="N75" s="2"/>
      <c r="O75" s="2"/>
      <c r="P75" s="2"/>
      <c r="Q75" s="2"/>
      <c r="R75" s="2"/>
      <c r="S75" s="216"/>
      <c r="T75" s="216"/>
      <c r="U75" s="217"/>
      <c r="V75" s="39"/>
      <c r="W75" s="39"/>
      <c r="X75" s="39"/>
      <c r="Y75" s="39"/>
      <c r="Z75" s="39"/>
      <c r="AA75" s="39"/>
      <c r="AB75" s="39"/>
      <c r="AG75" s="4"/>
      <c r="AH75" s="4"/>
      <c r="AI75" s="4"/>
      <c r="AJ75" s="4"/>
    </row>
    <row r="76" ht="25.5" customHeight="1">
      <c r="A76" s="132"/>
      <c r="B76" s="2"/>
      <c r="C76" s="2"/>
      <c r="D76" s="2"/>
      <c r="E76" s="2"/>
      <c r="F76" s="2"/>
      <c r="G76" s="2"/>
      <c r="H76" s="2"/>
      <c r="I76" s="2"/>
      <c r="J76" s="2"/>
      <c r="K76" s="2"/>
      <c r="L76" s="2"/>
      <c r="M76" s="2"/>
      <c r="N76" s="2"/>
      <c r="O76" s="2"/>
      <c r="P76" s="2"/>
      <c r="Q76" s="2"/>
      <c r="R76" s="2"/>
      <c r="S76" s="218"/>
      <c r="T76" s="218"/>
      <c r="U76" s="219"/>
      <c r="V76" s="136"/>
      <c r="W76" s="136"/>
      <c r="X76" s="136"/>
      <c r="Y76" s="136"/>
      <c r="Z76" s="136"/>
      <c r="AA76" s="136"/>
      <c r="AB76" s="5"/>
      <c r="AC76" s="4"/>
      <c r="AD76" s="4"/>
      <c r="AE76" s="4"/>
      <c r="AF76" s="4"/>
      <c r="AG76" s="4"/>
      <c r="AH76" s="4"/>
      <c r="AI76" s="4"/>
      <c r="AJ76" s="5"/>
    </row>
    <row r="77" ht="25.5" customHeight="1">
      <c r="A77" s="132"/>
      <c r="B77" s="2"/>
      <c r="C77" s="2"/>
      <c r="D77" s="2"/>
      <c r="E77" s="2"/>
      <c r="F77" s="2"/>
      <c r="G77" s="2"/>
      <c r="H77" s="2"/>
      <c r="I77" s="2"/>
      <c r="J77" s="2"/>
      <c r="K77" s="2"/>
      <c r="L77" s="2"/>
      <c r="M77" s="2"/>
      <c r="N77" s="2"/>
      <c r="O77" s="2"/>
      <c r="P77" s="2"/>
      <c r="Q77" s="2"/>
      <c r="R77" s="2"/>
      <c r="S77" s="218"/>
      <c r="T77" s="218"/>
      <c r="U77" s="219"/>
      <c r="V77" s="136"/>
      <c r="W77" s="136"/>
      <c r="X77" s="136"/>
      <c r="Y77" s="136"/>
      <c r="Z77" s="136"/>
      <c r="AA77" s="136"/>
      <c r="AB77" s="5"/>
      <c r="AC77" s="4"/>
      <c r="AD77" s="4"/>
      <c r="AE77" s="4"/>
      <c r="AF77" s="4"/>
      <c r="AG77" s="4"/>
      <c r="AH77" s="5"/>
      <c r="AI77" s="5"/>
      <c r="AJ77" s="5"/>
    </row>
    <row r="78" ht="25.5" customHeight="1">
      <c r="A78" s="132"/>
      <c r="B78" s="2"/>
      <c r="C78" s="2"/>
      <c r="D78" s="2"/>
      <c r="E78" s="2"/>
      <c r="F78" s="2"/>
      <c r="G78" s="2"/>
      <c r="H78" s="2"/>
      <c r="I78" s="2"/>
      <c r="J78" s="2"/>
      <c r="K78" s="2"/>
      <c r="L78" s="2"/>
      <c r="M78" s="2"/>
      <c r="N78" s="2"/>
      <c r="O78" s="2"/>
      <c r="P78" s="2"/>
      <c r="Q78" s="2"/>
      <c r="R78" s="2"/>
      <c r="S78" s="218"/>
      <c r="T78" s="218"/>
      <c r="U78" s="219"/>
      <c r="V78" s="136"/>
      <c r="W78" s="136"/>
      <c r="X78" s="136"/>
      <c r="Y78" s="136"/>
      <c r="Z78" s="136"/>
      <c r="AA78" s="136"/>
      <c r="AB78" s="5"/>
      <c r="AC78" s="4"/>
      <c r="AD78" s="4"/>
      <c r="AE78" s="4"/>
      <c r="AF78" s="4"/>
      <c r="AG78" s="4"/>
      <c r="AH78" s="5"/>
      <c r="AI78" s="5"/>
      <c r="AJ78" s="5"/>
    </row>
    <row r="79" ht="25.5" customHeight="1">
      <c r="A79" s="132"/>
      <c r="B79" s="2"/>
      <c r="C79" s="2"/>
      <c r="D79" s="2"/>
      <c r="E79" s="2"/>
      <c r="F79" s="2"/>
      <c r="G79" s="2"/>
      <c r="H79" s="2"/>
      <c r="I79" s="2"/>
      <c r="J79" s="2"/>
      <c r="K79" s="2"/>
      <c r="L79" s="2"/>
      <c r="M79" s="2"/>
      <c r="N79" s="2"/>
      <c r="O79" s="2"/>
      <c r="P79" s="2"/>
      <c r="Q79" s="2"/>
      <c r="R79" s="2"/>
      <c r="S79" s="218"/>
      <c r="T79" s="218"/>
      <c r="U79" s="219"/>
      <c r="V79" s="136"/>
      <c r="W79" s="136"/>
      <c r="X79" s="136"/>
      <c r="Y79" s="136"/>
      <c r="Z79" s="136"/>
      <c r="AA79" s="136"/>
      <c r="AB79" s="5"/>
      <c r="AC79" s="4"/>
      <c r="AD79" s="4"/>
      <c r="AE79" s="4"/>
      <c r="AF79" s="4"/>
      <c r="AG79" s="4"/>
      <c r="AH79" s="5"/>
      <c r="AI79" s="5"/>
      <c r="AJ79" s="5"/>
      <c r="AK79" s="4"/>
      <c r="AL79" s="218"/>
      <c r="AM79" s="218"/>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row>
    <row r="80" ht="25.5" customHeight="1">
      <c r="A80" s="132"/>
      <c r="B80" s="2"/>
      <c r="C80" s="2"/>
      <c r="D80" s="2"/>
      <c r="E80" s="2"/>
      <c r="F80" s="2"/>
      <c r="G80" s="2"/>
      <c r="H80" s="2"/>
      <c r="I80" s="2"/>
      <c r="J80" s="2"/>
      <c r="K80" s="2"/>
      <c r="L80" s="2"/>
      <c r="M80" s="2"/>
      <c r="N80" s="2"/>
      <c r="O80" s="2"/>
      <c r="P80" s="2"/>
      <c r="Q80" s="2"/>
      <c r="R80" s="2"/>
      <c r="S80" s="218"/>
      <c r="T80" s="218"/>
      <c r="U80" s="218"/>
      <c r="V80" s="216"/>
      <c r="W80" s="216"/>
      <c r="X80" s="216"/>
      <c r="Y80" s="216"/>
      <c r="Z80" s="216"/>
      <c r="AA80" s="216"/>
      <c r="AB80" s="4"/>
      <c r="AC80" s="4"/>
      <c r="AD80" s="4"/>
      <c r="AE80" s="4"/>
      <c r="AF80" s="4"/>
      <c r="AG80" s="4"/>
      <c r="AH80" s="5"/>
      <c r="AI80" s="5"/>
      <c r="AJ80" s="5"/>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row>
    <row r="81" ht="25.5" customHeight="1">
      <c r="A81" s="132"/>
      <c r="B81" s="2"/>
      <c r="C81" s="2"/>
      <c r="D81" s="2"/>
      <c r="E81" s="2"/>
      <c r="F81" s="2"/>
      <c r="G81" s="2"/>
      <c r="H81" s="2"/>
      <c r="I81" s="2"/>
      <c r="J81" s="2"/>
      <c r="K81" s="2"/>
      <c r="L81" s="2"/>
      <c r="M81" s="2"/>
      <c r="N81" s="2"/>
      <c r="O81" s="2"/>
      <c r="P81" s="2"/>
      <c r="Q81" s="2"/>
      <c r="R81" s="2"/>
      <c r="S81" s="218"/>
      <c r="T81" s="218"/>
      <c r="U81" s="218"/>
      <c r="V81" s="218"/>
      <c r="W81" s="218"/>
      <c r="X81" s="218"/>
      <c r="Y81" s="218"/>
      <c r="Z81" s="218"/>
      <c r="AA81" s="218"/>
      <c r="AB81" s="4"/>
      <c r="AC81" s="4"/>
      <c r="AD81" s="4"/>
      <c r="AE81" s="4"/>
      <c r="AF81" s="4"/>
      <c r="AG81" s="4"/>
      <c r="AH81" s="5"/>
      <c r="AI81" s="5"/>
      <c r="AJ81" s="5"/>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row>
    <row r="82" ht="19.5" customHeight="1">
      <c r="A82" s="132"/>
      <c r="B82" s="2"/>
      <c r="C82" s="2"/>
      <c r="D82" s="2"/>
      <c r="E82" s="2"/>
      <c r="F82" s="2"/>
      <c r="G82" s="2"/>
      <c r="H82" s="2"/>
      <c r="I82" s="2"/>
      <c r="J82" s="2"/>
      <c r="K82" s="2"/>
      <c r="L82" s="2"/>
      <c r="M82" s="2"/>
      <c r="N82" s="2"/>
      <c r="O82" s="2"/>
      <c r="P82" s="2"/>
      <c r="Q82" s="2"/>
      <c r="R82" s="2"/>
      <c r="S82" s="218"/>
      <c r="T82" s="218"/>
      <c r="U82" s="218"/>
      <c r="V82" s="218"/>
      <c r="W82" s="218"/>
      <c r="X82" s="218"/>
      <c r="Y82" s="218"/>
      <c r="Z82" s="218"/>
      <c r="AA82" s="218"/>
      <c r="AB82" s="4"/>
      <c r="AC82" s="4"/>
      <c r="AD82" s="4"/>
      <c r="AE82" s="4"/>
      <c r="AF82" s="4"/>
      <c r="AG82" s="4"/>
      <c r="AH82" s="5"/>
      <c r="AI82" s="5"/>
      <c r="AJ82" s="5"/>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row>
    <row r="83" ht="19.5" customHeight="1">
      <c r="A83" s="132"/>
      <c r="B83" s="2"/>
      <c r="C83" s="2"/>
      <c r="D83" s="2"/>
      <c r="E83" s="2"/>
      <c r="F83" s="2"/>
      <c r="G83" s="2"/>
      <c r="H83" s="2"/>
      <c r="I83" s="2"/>
      <c r="J83" s="2"/>
      <c r="K83" s="2"/>
      <c r="L83" s="2"/>
      <c r="M83" s="2"/>
      <c r="N83" s="2"/>
      <c r="O83" s="2"/>
      <c r="P83" s="2"/>
      <c r="Q83" s="2"/>
      <c r="R83" s="2"/>
      <c r="S83" s="218"/>
      <c r="T83" s="218"/>
      <c r="U83" s="218"/>
      <c r="V83" s="218"/>
      <c r="W83" s="218"/>
      <c r="X83" s="218"/>
      <c r="Y83" s="218"/>
      <c r="Z83" s="218"/>
      <c r="AA83" s="218"/>
      <c r="AB83" s="4"/>
      <c r="AC83" s="4"/>
      <c r="AD83" s="4"/>
      <c r="AE83" s="4"/>
      <c r="AF83" s="4"/>
      <c r="AG83" s="4"/>
      <c r="AH83" s="5"/>
      <c r="AI83" s="5"/>
      <c r="AJ83" s="5"/>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row>
    <row r="84" ht="19.5" customHeight="1">
      <c r="A84" s="132"/>
      <c r="B84" s="2"/>
      <c r="C84" s="2"/>
      <c r="D84" s="2"/>
      <c r="E84" s="2"/>
      <c r="F84" s="2"/>
      <c r="G84" s="2"/>
      <c r="H84" s="2"/>
      <c r="I84" s="2"/>
      <c r="J84" s="2"/>
      <c r="K84" s="2"/>
      <c r="L84" s="2"/>
      <c r="M84" s="2"/>
      <c r="N84" s="2"/>
      <c r="O84" s="2"/>
      <c r="P84" s="2"/>
      <c r="Q84" s="2"/>
      <c r="R84" s="2"/>
      <c r="S84" s="218"/>
      <c r="T84" s="218"/>
      <c r="U84" s="218"/>
      <c r="V84" s="218"/>
      <c r="W84" s="218"/>
      <c r="X84" s="218"/>
      <c r="Y84" s="218"/>
      <c r="Z84" s="218"/>
      <c r="AA84" s="218"/>
      <c r="AB84" s="4"/>
      <c r="AC84" s="4"/>
      <c r="AD84" s="4"/>
      <c r="AE84" s="4"/>
      <c r="AF84" s="4"/>
      <c r="AG84" s="4"/>
      <c r="AH84" s="5"/>
      <c r="AI84" s="5"/>
      <c r="AJ84" s="5"/>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row>
    <row r="85" ht="19.5" customHeight="1">
      <c r="A85" s="132"/>
      <c r="B85" s="2"/>
      <c r="C85" s="2"/>
      <c r="D85" s="2"/>
      <c r="E85" s="2"/>
      <c r="F85" s="2"/>
      <c r="G85" s="2"/>
      <c r="H85" s="2"/>
      <c r="I85" s="2"/>
      <c r="J85" s="2"/>
      <c r="K85" s="2"/>
      <c r="L85" s="2"/>
      <c r="M85" s="2"/>
      <c r="N85" s="2"/>
      <c r="O85" s="2"/>
      <c r="P85" s="2"/>
      <c r="Q85" s="2"/>
      <c r="R85" s="2"/>
      <c r="S85" s="218"/>
      <c r="T85" s="218"/>
      <c r="U85" s="218"/>
      <c r="V85" s="218"/>
      <c r="W85" s="218"/>
      <c r="X85" s="218"/>
      <c r="Y85" s="218"/>
      <c r="Z85" s="218"/>
      <c r="AA85" s="218"/>
      <c r="AB85" s="4"/>
      <c r="AC85" s="4"/>
      <c r="AD85" s="4"/>
      <c r="AE85" s="4"/>
      <c r="AF85" s="4"/>
      <c r="AG85" s="4"/>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row>
    <row r="86" ht="19.5" customHeight="1">
      <c r="A86" s="132"/>
      <c r="B86" s="2"/>
      <c r="C86" s="2"/>
      <c r="D86" s="2"/>
      <c r="E86" s="2"/>
      <c r="F86" s="2"/>
      <c r="G86" s="2"/>
      <c r="H86" s="2"/>
      <c r="I86" s="2"/>
      <c r="J86" s="2"/>
      <c r="K86" s="2"/>
      <c r="L86" s="2"/>
      <c r="M86" s="2"/>
      <c r="N86" s="2"/>
      <c r="O86" s="2"/>
      <c r="P86" s="2"/>
      <c r="Q86" s="2"/>
      <c r="R86" s="2"/>
      <c r="S86" s="218"/>
      <c r="T86" s="218"/>
      <c r="U86" s="218"/>
      <c r="V86" s="218"/>
      <c r="W86" s="218"/>
      <c r="X86" s="218"/>
      <c r="Y86" s="218"/>
      <c r="Z86" s="218"/>
      <c r="AA86" s="218"/>
      <c r="AB86" s="4"/>
      <c r="AC86" s="4"/>
      <c r="AD86" s="4"/>
      <c r="AE86" s="4"/>
      <c r="AF86" s="4"/>
      <c r="AG86" s="4"/>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row>
    <row r="87" ht="19.5" customHeight="1">
      <c r="A87" s="132"/>
      <c r="B87" s="2"/>
      <c r="C87" s="2"/>
      <c r="D87" s="2"/>
      <c r="E87" s="2"/>
      <c r="F87" s="2"/>
      <c r="G87" s="2"/>
      <c r="H87" s="2"/>
      <c r="I87" s="2"/>
      <c r="J87" s="2"/>
      <c r="K87" s="2"/>
      <c r="L87" s="2"/>
      <c r="M87" s="2"/>
      <c r="N87" s="2"/>
      <c r="O87" s="2"/>
      <c r="P87" s="2"/>
      <c r="Q87" s="2"/>
      <c r="R87" s="2"/>
      <c r="S87" s="218"/>
      <c r="T87" s="218"/>
      <c r="U87" s="218"/>
      <c r="V87" s="218"/>
      <c r="W87" s="218"/>
      <c r="X87" s="218"/>
      <c r="Y87" s="218"/>
      <c r="Z87" s="218"/>
      <c r="AA87" s="218"/>
      <c r="AB87" s="4"/>
      <c r="AC87" s="4"/>
      <c r="AD87" s="4"/>
      <c r="AE87" s="4"/>
      <c r="AF87" s="4"/>
      <c r="AG87" s="4"/>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row>
    <row r="88" ht="19.5" customHeight="1">
      <c r="A88" s="132"/>
      <c r="B88" s="2"/>
      <c r="C88" s="2"/>
      <c r="D88" s="2"/>
      <c r="E88" s="2"/>
      <c r="F88" s="2"/>
      <c r="G88" s="2"/>
      <c r="H88" s="2"/>
      <c r="I88" s="2"/>
      <c r="J88" s="2"/>
      <c r="K88" s="2"/>
      <c r="L88" s="2"/>
      <c r="M88" s="2"/>
      <c r="N88" s="2"/>
      <c r="O88" s="2"/>
      <c r="P88" s="2"/>
      <c r="Q88" s="2"/>
      <c r="R88" s="2"/>
      <c r="S88" s="218"/>
      <c r="T88" s="218"/>
      <c r="U88" s="218"/>
      <c r="V88" s="218"/>
      <c r="W88" s="218"/>
      <c r="X88" s="218"/>
      <c r="Y88" s="218"/>
      <c r="Z88" s="218"/>
      <c r="AA88" s="218"/>
      <c r="AB88" s="4"/>
      <c r="AC88" s="4"/>
      <c r="AD88" s="4"/>
      <c r="AE88" s="4"/>
      <c r="AF88" s="4"/>
      <c r="AG88" s="4"/>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row>
    <row r="89" ht="19.5" customHeight="1">
      <c r="A89" s="132"/>
      <c r="B89" s="2"/>
      <c r="C89" s="2"/>
      <c r="D89" s="2"/>
      <c r="E89" s="2"/>
      <c r="F89" s="2"/>
      <c r="G89" s="2"/>
      <c r="H89" s="2"/>
      <c r="I89" s="2"/>
      <c r="J89" s="2"/>
      <c r="K89" s="2"/>
      <c r="L89" s="2"/>
      <c r="M89" s="2"/>
      <c r="N89" s="2"/>
      <c r="O89" s="2"/>
      <c r="P89" s="2"/>
      <c r="Q89" s="2"/>
      <c r="R89" s="2"/>
      <c r="S89" s="218"/>
      <c r="T89" s="218"/>
      <c r="U89" s="218"/>
      <c r="V89" s="218"/>
      <c r="W89" s="218"/>
      <c r="X89" s="218"/>
      <c r="Y89" s="218"/>
      <c r="Z89" s="218"/>
      <c r="AA89" s="218"/>
      <c r="AB89" s="4"/>
      <c r="AC89" s="4"/>
      <c r="AD89" s="4"/>
      <c r="AE89" s="4"/>
      <c r="AF89" s="4"/>
      <c r="AG89" s="4"/>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row>
    <row r="90" ht="19.5" customHeight="1">
      <c r="A90" s="132"/>
      <c r="B90" s="2"/>
      <c r="C90" s="2"/>
      <c r="D90" s="2"/>
      <c r="E90" s="2"/>
      <c r="F90" s="2"/>
      <c r="G90" s="2"/>
      <c r="H90" s="2"/>
      <c r="I90" s="2"/>
      <c r="J90" s="2"/>
      <c r="K90" s="2"/>
      <c r="L90" s="2"/>
      <c r="M90" s="2"/>
      <c r="N90" s="2"/>
      <c r="O90" s="2"/>
      <c r="P90" s="2"/>
      <c r="Q90" s="2"/>
      <c r="R90" s="2"/>
      <c r="S90" s="218"/>
      <c r="T90" s="218"/>
      <c r="U90" s="218"/>
      <c r="V90" s="218"/>
      <c r="W90" s="218"/>
      <c r="X90" s="218"/>
      <c r="Y90" s="218"/>
      <c r="Z90" s="218"/>
      <c r="AA90" s="218"/>
      <c r="AB90" s="4"/>
      <c r="AC90" s="4"/>
      <c r="AD90" s="4"/>
      <c r="AE90" s="4"/>
      <c r="AF90" s="4"/>
      <c r="AG90" s="4"/>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row>
    <row r="91" ht="19.5" customHeight="1">
      <c r="A91" s="132"/>
      <c r="B91" s="2"/>
      <c r="C91" s="220"/>
      <c r="E91" s="221"/>
      <c r="F91" s="220"/>
      <c r="G91" s="220"/>
      <c r="H91" s="220"/>
      <c r="J91" s="220"/>
      <c r="K91" s="221"/>
      <c r="L91" s="221"/>
      <c r="M91" s="2"/>
      <c r="N91" s="2"/>
      <c r="O91" s="2"/>
      <c r="P91" s="2"/>
      <c r="Q91" s="2"/>
      <c r="R91" s="2"/>
      <c r="S91" s="218"/>
      <c r="T91" s="218"/>
      <c r="U91" s="218"/>
      <c r="V91" s="218"/>
      <c r="W91" s="218"/>
      <c r="X91" s="218"/>
      <c r="Y91" s="218"/>
      <c r="Z91" s="218"/>
      <c r="AA91" s="218"/>
      <c r="AB91" s="4"/>
      <c r="AC91" s="4"/>
      <c r="AD91" s="4"/>
      <c r="AE91" s="4"/>
      <c r="AF91" s="4"/>
      <c r="AG91" s="4"/>
      <c r="AH91" s="5"/>
      <c r="AI91" s="5"/>
      <c r="AJ91" s="5"/>
      <c r="AK91" s="5"/>
      <c r="AL91" s="5"/>
      <c r="AM91" s="5"/>
      <c r="AN91" s="5" t="s">
        <v>87</v>
      </c>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row>
    <row r="92" ht="19.5" customHeight="1">
      <c r="A92" s="132"/>
      <c r="B92" s="2"/>
      <c r="C92" s="220"/>
      <c r="E92" s="221"/>
      <c r="F92" s="221"/>
      <c r="G92" s="221"/>
      <c r="H92" s="220"/>
      <c r="J92" s="221"/>
      <c r="K92" s="221"/>
      <c r="L92" s="221"/>
      <c r="M92" s="2"/>
      <c r="N92" s="2"/>
      <c r="O92" s="2"/>
      <c r="P92" s="2"/>
      <c r="Q92" s="2"/>
      <c r="R92" s="2"/>
      <c r="S92" s="218"/>
      <c r="T92" s="218"/>
      <c r="U92" s="218"/>
      <c r="V92" s="218"/>
      <c r="W92" s="218"/>
      <c r="X92" s="218"/>
      <c r="Y92" s="218"/>
      <c r="Z92" s="218"/>
      <c r="AA92" s="218"/>
      <c r="AB92" s="4"/>
      <c r="AC92" s="4"/>
      <c r="AD92" s="4"/>
      <c r="AE92" s="4"/>
      <c r="AF92" s="4"/>
      <c r="AG92" s="4"/>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row>
    <row r="93" ht="19.5" customHeight="1">
      <c r="A93" s="132"/>
      <c r="B93" s="2"/>
      <c r="C93" s="220"/>
      <c r="E93" s="221"/>
      <c r="F93" s="221"/>
      <c r="G93" s="221"/>
      <c r="H93" s="220"/>
      <c r="J93" s="221"/>
      <c r="K93" s="221"/>
      <c r="L93" s="221"/>
      <c r="M93" s="2"/>
      <c r="N93" s="2"/>
      <c r="O93" s="2"/>
      <c r="P93" s="2"/>
      <c r="Q93" s="2"/>
      <c r="R93" s="2"/>
      <c r="S93" s="218"/>
      <c r="T93" s="218"/>
      <c r="U93" s="218"/>
      <c r="V93" s="218"/>
      <c r="W93" s="218"/>
      <c r="X93" s="218"/>
      <c r="Y93" s="218"/>
      <c r="Z93" s="218"/>
      <c r="AA93" s="218"/>
      <c r="AB93" s="4"/>
      <c r="AC93" s="4"/>
      <c r="AD93" s="4"/>
      <c r="AE93" s="4"/>
      <c r="AF93" s="4"/>
      <c r="AG93" s="4"/>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row>
    <row r="94" ht="19.5" customHeight="1">
      <c r="A94" s="132"/>
      <c r="B94" s="2"/>
      <c r="C94" s="220"/>
      <c r="E94" s="221"/>
      <c r="F94" s="221"/>
      <c r="G94" s="221"/>
      <c r="H94" s="220"/>
      <c r="J94" s="221"/>
      <c r="K94" s="221"/>
      <c r="L94" s="221"/>
      <c r="M94" s="2"/>
      <c r="N94" s="2"/>
      <c r="O94" s="2"/>
      <c r="P94" s="2"/>
      <c r="Q94" s="2"/>
      <c r="R94" s="2"/>
      <c r="S94" s="218"/>
      <c r="T94" s="218"/>
      <c r="U94" s="218"/>
      <c r="V94" s="218"/>
      <c r="W94" s="218"/>
      <c r="X94" s="218"/>
      <c r="Y94" s="218"/>
      <c r="Z94" s="218"/>
      <c r="AA94" s="218"/>
      <c r="AB94" s="4"/>
      <c r="AC94" s="4"/>
      <c r="AD94" s="4"/>
      <c r="AE94" s="4"/>
      <c r="AF94" s="4"/>
      <c r="AG94" s="4"/>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row>
    <row r="95" ht="19.5" customHeight="1">
      <c r="A95" s="132"/>
      <c r="B95" s="2"/>
      <c r="C95" s="220"/>
      <c r="E95" s="221"/>
      <c r="F95" s="221"/>
      <c r="G95" s="221"/>
      <c r="H95" s="220"/>
      <c r="J95" s="221"/>
      <c r="K95" s="221"/>
      <c r="L95" s="221"/>
      <c r="M95" s="2"/>
      <c r="N95" s="2"/>
      <c r="O95" s="2"/>
      <c r="P95" s="2"/>
      <c r="Q95" s="2"/>
      <c r="R95" s="2"/>
      <c r="S95" s="218"/>
      <c r="T95" s="218"/>
      <c r="U95" s="218"/>
      <c r="V95" s="218"/>
      <c r="W95" s="218"/>
      <c r="X95" s="218"/>
      <c r="Y95" s="218"/>
      <c r="Z95" s="218"/>
      <c r="AA95" s="218"/>
      <c r="AB95" s="4"/>
      <c r="AC95" s="4"/>
      <c r="AD95" s="4"/>
      <c r="AE95" s="4"/>
      <c r="AF95" s="4"/>
      <c r="AG95" s="4"/>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row>
    <row r="96" ht="19.5" customHeight="1">
      <c r="A96" s="132"/>
      <c r="B96" s="2"/>
      <c r="C96" s="220"/>
      <c r="E96" s="221"/>
      <c r="F96" s="221"/>
      <c r="G96" s="221"/>
      <c r="H96" s="220"/>
      <c r="J96" s="221"/>
      <c r="K96" s="221"/>
      <c r="L96" s="221"/>
      <c r="M96" s="2"/>
      <c r="N96" s="2"/>
      <c r="O96" s="2"/>
      <c r="P96" s="2"/>
      <c r="Q96" s="2"/>
      <c r="R96" s="2"/>
      <c r="S96" s="218"/>
      <c r="T96" s="218"/>
      <c r="U96" s="218"/>
      <c r="V96" s="218"/>
      <c r="W96" s="218"/>
      <c r="X96" s="218"/>
      <c r="Y96" s="218"/>
      <c r="Z96" s="218"/>
      <c r="AA96" s="218"/>
      <c r="AB96" s="4"/>
      <c r="AC96" s="4"/>
      <c r="AD96" s="4"/>
      <c r="AE96" s="4"/>
      <c r="AF96" s="4"/>
      <c r="AG96" s="4"/>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row>
    <row r="97" ht="19.5" customHeight="1">
      <c r="A97" s="132"/>
      <c r="B97" s="2"/>
      <c r="C97" s="220"/>
      <c r="E97" s="221"/>
      <c r="F97" s="221"/>
      <c r="G97" s="221"/>
      <c r="H97" s="220"/>
      <c r="J97" s="221"/>
      <c r="K97" s="221"/>
      <c r="L97" s="221"/>
      <c r="M97" s="2"/>
      <c r="N97" s="2"/>
      <c r="O97" s="2"/>
      <c r="P97" s="2"/>
      <c r="Q97" s="2"/>
      <c r="R97" s="2"/>
      <c r="S97" s="218"/>
      <c r="T97" s="218"/>
      <c r="U97" s="218"/>
      <c r="V97" s="218"/>
      <c r="W97" s="218"/>
      <c r="X97" s="218"/>
      <c r="Y97" s="218"/>
      <c r="Z97" s="218"/>
      <c r="AA97" s="218"/>
      <c r="AB97" s="4"/>
      <c r="AC97" s="4"/>
      <c r="AD97" s="4"/>
      <c r="AE97" s="4"/>
      <c r="AF97" s="4"/>
      <c r="AG97" s="4"/>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row>
    <row r="98" ht="19.5" customHeight="1">
      <c r="A98" s="132" t="s">
        <v>75</v>
      </c>
      <c r="B98" s="2"/>
      <c r="C98" s="220"/>
      <c r="E98" s="221"/>
      <c r="F98" s="221"/>
      <c r="G98" s="221"/>
      <c r="H98" s="222"/>
      <c r="J98" s="221"/>
      <c r="K98" s="221"/>
      <c r="L98" s="221"/>
      <c r="M98" s="2"/>
      <c r="N98" s="2"/>
      <c r="O98" s="2"/>
      <c r="P98" s="2"/>
      <c r="Q98" s="2"/>
      <c r="R98" s="2"/>
      <c r="S98" s="218"/>
      <c r="T98" s="218"/>
      <c r="U98" s="218"/>
      <c r="V98" s="218"/>
      <c r="W98" s="218"/>
      <c r="X98" s="218"/>
      <c r="Y98" s="218"/>
      <c r="Z98" s="218"/>
      <c r="AA98" s="218"/>
      <c r="AB98" s="4"/>
      <c r="AC98" s="4"/>
      <c r="AD98" s="4"/>
      <c r="AE98" s="4"/>
      <c r="AF98" s="4"/>
      <c r="AG98" s="4"/>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row>
    <row r="99" ht="19.5" customHeight="1">
      <c r="A99" s="132"/>
      <c r="B99" s="2"/>
      <c r="C99" s="136"/>
      <c r="D99" s="136"/>
      <c r="E99" s="136"/>
      <c r="F99" s="136"/>
      <c r="G99" s="136"/>
      <c r="H99" s="5"/>
      <c r="I99" s="5"/>
      <c r="J99" s="136"/>
      <c r="K99" s="136"/>
      <c r="L99" s="136"/>
      <c r="M99" s="2"/>
      <c r="N99" s="2"/>
      <c r="O99" s="2"/>
      <c r="P99" s="2"/>
      <c r="Q99" s="2"/>
      <c r="R99" s="2"/>
      <c r="S99" s="218"/>
      <c r="T99" s="218"/>
      <c r="U99" s="218"/>
      <c r="V99" s="218"/>
      <c r="W99" s="218"/>
      <c r="X99" s="218"/>
      <c r="Y99" s="218"/>
      <c r="Z99" s="218"/>
      <c r="AA99" s="218"/>
      <c r="AB99" s="4"/>
      <c r="AC99" s="4"/>
      <c r="AD99" s="4"/>
      <c r="AE99" s="4"/>
      <c r="AF99" s="4"/>
      <c r="AG99" s="4"/>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row>
    <row r="100" ht="19.5" customHeight="1">
      <c r="A100" s="132"/>
      <c r="B100" s="2"/>
      <c r="C100" s="136"/>
      <c r="D100" s="136"/>
      <c r="E100" s="136"/>
      <c r="F100" s="136"/>
      <c r="G100" s="136"/>
      <c r="H100" s="136"/>
      <c r="I100" s="136"/>
      <c r="J100" s="136"/>
      <c r="K100" s="136"/>
      <c r="L100" s="136"/>
      <c r="M100" s="2"/>
      <c r="N100" s="2"/>
      <c r="O100" s="2"/>
      <c r="P100" s="2"/>
      <c r="Q100" s="2"/>
      <c r="R100" s="2"/>
      <c r="S100" s="218"/>
      <c r="T100" s="218"/>
      <c r="U100" s="218"/>
      <c r="V100" s="218"/>
      <c r="W100" s="218"/>
      <c r="X100" s="218"/>
      <c r="Y100" s="218"/>
      <c r="Z100" s="218"/>
      <c r="AA100" s="218"/>
      <c r="AB100" s="4"/>
      <c r="AC100" s="4"/>
      <c r="AD100" s="4"/>
      <c r="AE100" s="4"/>
      <c r="AF100" s="4"/>
      <c r="AG100" s="4"/>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row>
    <row r="101" ht="19.5" customHeight="1">
      <c r="A101" s="132"/>
      <c r="B101" s="2"/>
      <c r="C101" s="136"/>
      <c r="D101" s="136"/>
      <c r="E101" s="136"/>
      <c r="F101" s="136"/>
      <c r="G101" s="136"/>
      <c r="H101" s="136"/>
      <c r="I101" s="136"/>
      <c r="J101" s="136"/>
      <c r="K101" s="136"/>
      <c r="L101" s="136"/>
      <c r="M101" s="2"/>
      <c r="N101" s="2"/>
      <c r="O101" s="2"/>
      <c r="P101" s="2"/>
      <c r="Q101" s="2"/>
      <c r="R101" s="2"/>
      <c r="S101" s="218"/>
      <c r="T101" s="218"/>
      <c r="U101" s="218"/>
      <c r="V101" s="218"/>
      <c r="W101" s="218"/>
      <c r="X101" s="218"/>
      <c r="Y101" s="218"/>
      <c r="Z101" s="218"/>
      <c r="AA101" s="218"/>
      <c r="AB101" s="4"/>
      <c r="AC101" s="4"/>
      <c r="AD101" s="4"/>
      <c r="AE101" s="4"/>
      <c r="AF101" s="4"/>
      <c r="AG101" s="4"/>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row>
    <row r="102" ht="19.5" customHeight="1">
      <c r="A102" s="132"/>
      <c r="B102" s="2"/>
      <c r="C102" s="136"/>
      <c r="D102" s="136"/>
      <c r="E102" s="136"/>
      <c r="F102" s="136"/>
      <c r="G102" s="136"/>
      <c r="H102" s="136"/>
      <c r="I102" s="136"/>
      <c r="J102" s="136"/>
      <c r="K102" s="136" t="s">
        <v>6</v>
      </c>
      <c r="L102" s="136">
        <v>5555.0</v>
      </c>
      <c r="M102" s="2"/>
      <c r="N102" s="2"/>
      <c r="O102" s="2"/>
      <c r="P102" s="2"/>
      <c r="Q102" s="2"/>
      <c r="R102" s="2"/>
      <c r="S102" s="218"/>
      <c r="T102" s="218"/>
      <c r="U102" s="218"/>
      <c r="V102" s="218"/>
      <c r="W102" s="218"/>
      <c r="X102" s="218"/>
      <c r="Y102" s="218"/>
      <c r="Z102" s="218"/>
      <c r="AA102" s="218"/>
      <c r="AB102" s="4"/>
      <c r="AC102" s="4"/>
      <c r="AD102" s="4"/>
      <c r="AE102" s="4"/>
      <c r="AF102" s="4"/>
      <c r="AG102" s="4"/>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row>
    <row r="103" ht="14.25" customHeight="1">
      <c r="A103" s="132"/>
      <c r="B103" s="2"/>
      <c r="C103" s="136"/>
      <c r="D103" s="136"/>
      <c r="E103" s="136"/>
      <c r="F103" s="136"/>
      <c r="G103" s="136"/>
      <c r="H103" s="136"/>
      <c r="I103" s="136"/>
      <c r="J103" s="136"/>
      <c r="K103" s="136" t="s">
        <v>88</v>
      </c>
      <c r="L103" s="136" t="s">
        <v>89</v>
      </c>
      <c r="M103" s="2"/>
      <c r="N103" s="2"/>
      <c r="O103" s="2"/>
      <c r="P103" s="2"/>
      <c r="Q103" s="2"/>
      <c r="R103" s="2"/>
      <c r="S103" s="218"/>
      <c r="T103" s="218"/>
      <c r="U103" s="218"/>
      <c r="V103" s="218"/>
      <c r="W103" s="218"/>
      <c r="X103" s="218"/>
      <c r="Y103" s="218"/>
      <c r="Z103" s="218"/>
      <c r="AA103" s="218"/>
      <c r="AB103" s="4"/>
      <c r="AC103" s="4"/>
      <c r="AD103" s="4"/>
      <c r="AE103" s="4"/>
      <c r="AF103" s="4"/>
      <c r="AG103" s="4"/>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row>
    <row r="104" ht="14.25" customHeight="1">
      <c r="A104" s="132"/>
      <c r="B104" s="2"/>
      <c r="C104" s="136"/>
      <c r="D104" s="136"/>
      <c r="E104" s="136"/>
      <c r="F104" s="136"/>
      <c r="G104" s="136"/>
      <c r="H104" s="136"/>
      <c r="I104" s="136"/>
      <c r="J104" s="136"/>
      <c r="K104" s="136" t="s">
        <v>90</v>
      </c>
      <c r="L104" s="136">
        <v>1.3643418E7</v>
      </c>
      <c r="M104" s="2"/>
      <c r="N104" s="2"/>
      <c r="O104" s="2"/>
      <c r="P104" s="2"/>
      <c r="Q104" s="2"/>
      <c r="R104" s="2"/>
      <c r="S104" s="218"/>
      <c r="T104" s="218"/>
      <c r="U104" s="218"/>
      <c r="V104" s="218"/>
      <c r="W104" s="218"/>
      <c r="X104" s="218"/>
      <c r="Y104" s="218"/>
      <c r="Z104" s="218"/>
      <c r="AA104" s="218"/>
      <c r="AB104" s="4"/>
      <c r="AC104" s="4"/>
      <c r="AD104" s="4"/>
      <c r="AE104" s="4"/>
      <c r="AF104" s="4"/>
      <c r="AG104" s="4"/>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row>
    <row r="105" ht="14.25" customHeight="1">
      <c r="A105" s="132"/>
      <c r="B105" s="2"/>
      <c r="C105" s="136"/>
      <c r="D105" s="136"/>
      <c r="E105" s="136"/>
      <c r="F105" s="136"/>
      <c r="G105" s="136"/>
      <c r="H105" s="136"/>
      <c r="I105" s="136"/>
      <c r="J105" s="136"/>
      <c r="K105" s="136"/>
      <c r="L105" s="136"/>
      <c r="M105" s="2"/>
      <c r="N105" s="2"/>
      <c r="O105" s="2"/>
      <c r="P105" s="2"/>
      <c r="Q105" s="2"/>
      <c r="R105" s="2"/>
      <c r="S105" s="218"/>
      <c r="T105" s="218"/>
      <c r="U105" s="218"/>
      <c r="V105" s="218"/>
      <c r="W105" s="218"/>
      <c r="X105" s="218"/>
      <c r="Y105" s="218"/>
      <c r="Z105" s="218"/>
      <c r="AA105" s="218"/>
      <c r="AB105" s="4"/>
      <c r="AC105" s="4"/>
      <c r="AD105" s="4"/>
      <c r="AE105" s="4"/>
      <c r="AF105" s="4"/>
      <c r="AG105" s="4"/>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row>
    <row r="106" ht="14.25" customHeight="1">
      <c r="A106" s="132"/>
      <c r="B106" s="2"/>
      <c r="C106" s="136"/>
      <c r="D106" s="136"/>
      <c r="E106" s="136"/>
      <c r="F106" s="136"/>
      <c r="G106" s="136"/>
      <c r="H106" s="136"/>
      <c r="I106" s="136"/>
      <c r="J106" s="136"/>
      <c r="K106" s="136"/>
      <c r="L106" s="136"/>
      <c r="M106" s="2"/>
      <c r="N106" s="2"/>
      <c r="O106" s="2"/>
      <c r="P106" s="2"/>
      <c r="Q106" s="2"/>
      <c r="R106" s="2"/>
      <c r="S106" s="218"/>
      <c r="T106" s="218"/>
      <c r="U106" s="218"/>
      <c r="V106" s="218"/>
      <c r="W106" s="218"/>
      <c r="X106" s="218"/>
      <c r="Y106" s="218"/>
      <c r="Z106" s="218"/>
      <c r="AA106" s="218"/>
      <c r="AB106" s="4"/>
      <c r="AC106" s="4"/>
      <c r="AD106" s="4"/>
      <c r="AE106" s="4"/>
      <c r="AF106" s="4"/>
      <c r="AG106" s="4"/>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row>
    <row r="107" ht="14.25" customHeight="1">
      <c r="A107" s="132"/>
      <c r="B107" s="2"/>
      <c r="C107" s="136"/>
      <c r="D107" s="136"/>
      <c r="E107" s="136"/>
      <c r="F107" s="136"/>
      <c r="G107" s="136"/>
      <c r="H107" s="136"/>
      <c r="I107" s="136"/>
      <c r="J107" s="136"/>
      <c r="K107" s="136"/>
      <c r="L107" s="136"/>
      <c r="M107" s="2"/>
      <c r="N107" s="2"/>
      <c r="O107" s="2"/>
      <c r="P107" s="2"/>
      <c r="Q107" s="2"/>
      <c r="R107" s="2"/>
      <c r="S107" s="218"/>
      <c r="T107" s="218"/>
      <c r="U107" s="218"/>
      <c r="V107" s="218"/>
      <c r="W107" s="218"/>
      <c r="X107" s="218"/>
      <c r="Y107" s="218"/>
      <c r="Z107" s="218"/>
      <c r="AA107" s="218"/>
      <c r="AB107" s="4"/>
      <c r="AC107" s="4"/>
      <c r="AD107" s="4"/>
      <c r="AE107" s="4"/>
      <c r="AF107" s="4"/>
      <c r="AG107" s="4"/>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row>
    <row r="108" ht="14.25" customHeight="1">
      <c r="A108" s="132"/>
      <c r="B108" s="2"/>
      <c r="C108" s="136"/>
      <c r="D108" s="136"/>
      <c r="E108" s="136"/>
      <c r="F108" s="136"/>
      <c r="G108" s="136"/>
      <c r="H108" s="136"/>
      <c r="I108" s="136"/>
      <c r="J108" s="136"/>
      <c r="K108" s="136"/>
      <c r="L108" s="136"/>
      <c r="M108" s="2"/>
      <c r="N108" s="2"/>
      <c r="O108" s="2"/>
      <c r="P108" s="2"/>
      <c r="Q108" s="2"/>
      <c r="R108" s="2"/>
      <c r="S108" s="218"/>
      <c r="T108" s="218"/>
      <c r="U108" s="218"/>
      <c r="V108" s="218"/>
      <c r="W108" s="218"/>
      <c r="X108" s="218"/>
      <c r="Y108" s="218"/>
      <c r="Z108" s="218"/>
      <c r="AA108" s="218"/>
      <c r="AB108" s="4"/>
      <c r="AC108" s="4"/>
      <c r="AD108" s="4"/>
      <c r="AE108" s="4"/>
      <c r="AF108" s="4"/>
      <c r="AG108" s="4"/>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row>
    <row r="109" ht="14.25" customHeight="1">
      <c r="A109" s="132"/>
      <c r="B109" s="2"/>
      <c r="C109" s="136"/>
      <c r="D109" s="136"/>
      <c r="E109" s="136"/>
      <c r="F109" s="136"/>
      <c r="G109" s="136"/>
      <c r="H109" s="136"/>
      <c r="I109" s="136"/>
      <c r="J109" s="136"/>
      <c r="K109" s="136"/>
      <c r="L109" s="136"/>
      <c r="M109" s="2"/>
      <c r="N109" s="2"/>
      <c r="O109" s="2"/>
      <c r="P109" s="2"/>
      <c r="Q109" s="2"/>
      <c r="R109" s="2"/>
      <c r="S109" s="218"/>
      <c r="T109" s="218"/>
      <c r="U109" s="218"/>
      <c r="V109" s="218"/>
      <c r="W109" s="218"/>
      <c r="X109" s="218"/>
      <c r="Y109" s="218"/>
      <c r="Z109" s="218"/>
      <c r="AA109" s="218"/>
      <c r="AB109" s="4"/>
      <c r="AC109" s="4"/>
      <c r="AD109" s="4"/>
      <c r="AE109" s="4"/>
      <c r="AF109" s="4"/>
      <c r="AG109" s="4"/>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row>
    <row r="110" ht="14.25" customHeight="1">
      <c r="A110" s="132"/>
      <c r="B110" s="2"/>
      <c r="C110" s="136"/>
      <c r="D110" s="136"/>
      <c r="E110" s="136"/>
      <c r="F110" s="136"/>
      <c r="G110" s="136"/>
      <c r="H110" s="136"/>
      <c r="I110" s="136"/>
      <c r="J110" s="136"/>
      <c r="K110" s="136"/>
      <c r="L110" s="136"/>
      <c r="M110" s="2"/>
      <c r="N110" s="2"/>
      <c r="O110" s="2"/>
      <c r="P110" s="2"/>
      <c r="Q110" s="2"/>
      <c r="R110" s="2"/>
      <c r="S110" s="218"/>
      <c r="T110" s="218"/>
      <c r="U110" s="218"/>
      <c r="V110" s="218"/>
      <c r="W110" s="218"/>
      <c r="X110" s="218"/>
      <c r="Y110" s="218"/>
      <c r="Z110" s="218"/>
      <c r="AA110" s="218"/>
      <c r="AB110" s="4"/>
      <c r="AC110" s="4"/>
      <c r="AD110" s="4"/>
      <c r="AE110" s="4"/>
      <c r="AF110" s="4"/>
      <c r="AG110" s="4"/>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row>
    <row r="111" ht="14.25" customHeight="1">
      <c r="A111" s="132"/>
      <c r="B111" s="2"/>
      <c r="C111" s="2"/>
      <c r="D111" s="2"/>
      <c r="E111" s="2"/>
      <c r="F111" s="2"/>
      <c r="G111" s="2"/>
      <c r="H111" s="2"/>
      <c r="I111" s="2"/>
      <c r="J111" s="2"/>
      <c r="K111" s="2"/>
      <c r="L111" s="2"/>
      <c r="M111" s="2"/>
      <c r="N111" s="2"/>
      <c r="O111" s="2"/>
      <c r="P111" s="2"/>
      <c r="Q111" s="2"/>
      <c r="R111" s="2"/>
      <c r="S111" s="218"/>
      <c r="T111" s="218"/>
      <c r="U111" s="218"/>
      <c r="V111" s="218"/>
      <c r="W111" s="218"/>
      <c r="X111" s="218"/>
      <c r="Y111" s="218"/>
      <c r="Z111" s="218"/>
      <c r="AA111" s="218"/>
      <c r="AB111" s="4"/>
      <c r="AC111" s="4"/>
      <c r="AD111" s="4"/>
      <c r="AE111" s="4"/>
      <c r="AF111" s="4"/>
      <c r="AG111" s="4"/>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row>
    <row r="112" ht="14.25" customHeight="1">
      <c r="A112" s="132"/>
      <c r="B112" s="2"/>
      <c r="C112" s="2"/>
      <c r="D112" s="2"/>
      <c r="E112" s="2"/>
      <c r="F112" s="2"/>
      <c r="G112" s="2"/>
      <c r="H112" s="2"/>
      <c r="I112" s="2"/>
      <c r="J112" s="2"/>
      <c r="K112" s="2"/>
      <c r="L112" s="2"/>
      <c r="M112" s="2"/>
      <c r="N112" s="2"/>
      <c r="O112" s="2"/>
      <c r="P112" s="2"/>
      <c r="Q112" s="2"/>
      <c r="R112" s="2"/>
      <c r="S112" s="218"/>
      <c r="T112" s="218"/>
      <c r="U112" s="218"/>
      <c r="V112" s="218"/>
      <c r="W112" s="218"/>
      <c r="X112" s="218"/>
      <c r="Y112" s="218"/>
      <c r="Z112" s="218"/>
      <c r="AA112" s="218"/>
      <c r="AB112" s="4"/>
      <c r="AC112" s="4"/>
      <c r="AD112" s="4"/>
      <c r="AE112" s="4"/>
      <c r="AF112" s="4"/>
      <c r="AG112" s="4"/>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row>
    <row r="113" ht="14.25" customHeight="1">
      <c r="A113" s="132"/>
      <c r="B113" s="2"/>
      <c r="C113" s="2"/>
      <c r="D113" s="2"/>
      <c r="E113" s="2"/>
      <c r="F113" s="2"/>
      <c r="G113" s="2"/>
      <c r="H113" s="2"/>
      <c r="I113" s="2"/>
      <c r="J113" s="2"/>
      <c r="K113" s="2"/>
      <c r="L113" s="2"/>
      <c r="M113" s="2"/>
      <c r="N113" s="2"/>
      <c r="O113" s="2"/>
      <c r="P113" s="2"/>
      <c r="Q113" s="2"/>
      <c r="R113" s="2"/>
      <c r="S113" s="218"/>
      <c r="T113" s="218"/>
      <c r="U113" s="218"/>
      <c r="V113" s="218"/>
      <c r="W113" s="218"/>
      <c r="X113" s="218"/>
      <c r="Y113" s="218"/>
      <c r="Z113" s="218"/>
      <c r="AA113" s="218"/>
      <c r="AB113" s="4"/>
      <c r="AC113" s="4"/>
      <c r="AD113" s="4"/>
      <c r="AE113" s="4"/>
      <c r="AF113" s="4"/>
      <c r="AG113" s="4"/>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row>
    <row r="114" ht="14.25" customHeight="1">
      <c r="A114" s="132"/>
      <c r="B114" s="2"/>
      <c r="C114" s="2"/>
      <c r="D114" s="2"/>
      <c r="E114" s="2"/>
      <c r="F114" s="2"/>
      <c r="G114" s="2"/>
      <c r="H114" s="2"/>
      <c r="I114" s="2"/>
      <c r="J114" s="2"/>
      <c r="K114" s="2"/>
      <c r="L114" s="2"/>
      <c r="M114" s="2"/>
      <c r="N114" s="2"/>
      <c r="O114" s="2"/>
      <c r="P114" s="2"/>
      <c r="Q114" s="2"/>
      <c r="R114" s="2"/>
      <c r="S114" s="218"/>
      <c r="T114" s="218"/>
      <c r="U114" s="218"/>
      <c r="V114" s="218"/>
      <c r="W114" s="218"/>
      <c r="X114" s="218"/>
      <c r="Y114" s="218"/>
      <c r="Z114" s="218"/>
      <c r="AA114" s="218"/>
      <c r="AB114" s="4"/>
      <c r="AC114" s="4"/>
      <c r="AD114" s="4"/>
      <c r="AE114" s="4"/>
      <c r="AF114" s="4"/>
      <c r="AG114" s="4"/>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row>
    <row r="115" ht="14.25" customHeight="1">
      <c r="A115" s="132"/>
      <c r="B115" s="2"/>
      <c r="C115" s="2"/>
      <c r="D115" s="2"/>
      <c r="E115" s="2"/>
      <c r="F115" s="2"/>
      <c r="G115" s="2"/>
      <c r="H115" s="2"/>
      <c r="I115" s="2"/>
      <c r="J115" s="2"/>
      <c r="K115" s="2"/>
      <c r="L115" s="2"/>
      <c r="M115" s="2"/>
      <c r="N115" s="2"/>
      <c r="O115" s="2"/>
      <c r="P115" s="2"/>
      <c r="Q115" s="2"/>
      <c r="R115" s="2"/>
      <c r="S115" s="218"/>
      <c r="T115" s="218"/>
      <c r="U115" s="218"/>
      <c r="V115" s="218"/>
      <c r="W115" s="218"/>
      <c r="X115" s="218"/>
      <c r="Y115" s="218"/>
      <c r="Z115" s="218"/>
      <c r="AA115" s="218"/>
      <c r="AB115" s="4"/>
      <c r="AC115" s="4"/>
      <c r="AD115" s="4"/>
      <c r="AE115" s="4"/>
      <c r="AF115" s="4"/>
      <c r="AG115" s="4"/>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row>
    <row r="116" ht="14.25" customHeight="1">
      <c r="A116" s="132"/>
      <c r="B116" s="2"/>
      <c r="C116" s="2"/>
      <c r="D116" s="2"/>
      <c r="E116" s="2"/>
      <c r="F116" s="2"/>
      <c r="G116" s="2"/>
      <c r="H116" s="2"/>
      <c r="I116" s="2"/>
      <c r="J116" s="2"/>
      <c r="K116" s="2"/>
      <c r="L116" s="2"/>
      <c r="M116" s="2"/>
      <c r="N116" s="2"/>
      <c r="O116" s="2"/>
      <c r="P116" s="2"/>
      <c r="Q116" s="2"/>
      <c r="R116" s="2"/>
      <c r="S116" s="218"/>
      <c r="T116" s="218"/>
      <c r="U116" s="218"/>
      <c r="V116" s="218"/>
      <c r="W116" s="218"/>
      <c r="X116" s="218"/>
      <c r="Y116" s="218"/>
      <c r="Z116" s="218"/>
      <c r="AA116" s="218"/>
      <c r="AB116" s="4"/>
      <c r="AC116" s="4"/>
      <c r="AD116" s="4"/>
      <c r="AE116" s="4"/>
      <c r="AF116" s="4"/>
      <c r="AG116" s="4"/>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row>
    <row r="117" ht="14.25" customHeight="1">
      <c r="A117" s="132"/>
      <c r="B117" s="2"/>
      <c r="C117" s="2"/>
      <c r="D117" s="2"/>
      <c r="E117" s="2"/>
      <c r="F117" s="2"/>
      <c r="G117" s="2"/>
      <c r="H117" s="2"/>
      <c r="I117" s="2"/>
      <c r="J117" s="2"/>
      <c r="K117" s="2"/>
      <c r="L117" s="2"/>
      <c r="M117" s="2"/>
      <c r="N117" s="2"/>
      <c r="O117" s="2"/>
      <c r="P117" s="2"/>
      <c r="Q117" s="2"/>
      <c r="R117" s="2"/>
      <c r="S117" s="218"/>
      <c r="T117" s="218"/>
      <c r="U117" s="218"/>
      <c r="V117" s="218"/>
      <c r="W117" s="218"/>
      <c r="X117" s="218"/>
      <c r="Y117" s="218"/>
      <c r="Z117" s="218"/>
      <c r="AA117" s="218"/>
      <c r="AB117" s="4"/>
      <c r="AC117" s="4"/>
      <c r="AD117" s="4"/>
      <c r="AE117" s="4"/>
      <c r="AF117" s="4"/>
      <c r="AG117" s="4"/>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row>
    <row r="118" ht="14.25" customHeight="1">
      <c r="A118" s="132"/>
      <c r="B118" s="2"/>
      <c r="C118" s="2"/>
      <c r="D118" s="2"/>
      <c r="E118" s="2"/>
      <c r="F118" s="2"/>
      <c r="G118" s="2"/>
      <c r="H118" s="2"/>
      <c r="I118" s="2"/>
      <c r="J118" s="2"/>
      <c r="K118" s="2"/>
      <c r="L118" s="2"/>
      <c r="M118" s="2"/>
      <c r="N118" s="2"/>
      <c r="O118" s="2"/>
      <c r="P118" s="2"/>
      <c r="Q118" s="2"/>
      <c r="R118" s="2"/>
      <c r="S118" s="218"/>
      <c r="T118" s="218"/>
      <c r="U118" s="218"/>
      <c r="V118" s="218"/>
      <c r="W118" s="218"/>
      <c r="X118" s="218"/>
      <c r="Y118" s="218"/>
      <c r="Z118" s="218"/>
      <c r="AA118" s="218"/>
      <c r="AB118" s="4"/>
      <c r="AC118" s="4"/>
      <c r="AD118" s="4"/>
      <c r="AE118" s="4"/>
      <c r="AF118" s="4"/>
      <c r="AG118" s="4"/>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row>
    <row r="119" ht="14.25" customHeight="1">
      <c r="A119" s="132"/>
      <c r="B119" s="2"/>
      <c r="C119" s="2"/>
      <c r="D119" s="2"/>
      <c r="E119" s="2"/>
      <c r="F119" s="2"/>
      <c r="G119" s="2"/>
      <c r="H119" s="2"/>
      <c r="I119" s="2"/>
      <c r="J119" s="2"/>
      <c r="K119" s="2"/>
      <c r="L119" s="2"/>
      <c r="M119" s="2"/>
      <c r="N119" s="2"/>
      <c r="O119" s="2"/>
      <c r="P119" s="2"/>
      <c r="Q119" s="2"/>
      <c r="R119" s="2"/>
      <c r="S119" s="218"/>
      <c r="T119" s="218"/>
      <c r="U119" s="218"/>
      <c r="V119" s="218"/>
      <c r="W119" s="218"/>
      <c r="X119" s="218"/>
      <c r="Y119" s="218"/>
      <c r="Z119" s="218"/>
      <c r="AA119" s="218"/>
      <c r="AB119" s="4"/>
      <c r="AC119" s="4"/>
      <c r="AD119" s="4"/>
      <c r="AE119" s="4"/>
      <c r="AF119" s="4"/>
      <c r="AG119" s="4"/>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row>
    <row r="120" ht="14.25" customHeight="1">
      <c r="A120" s="132"/>
      <c r="B120" s="2"/>
      <c r="C120" s="2"/>
      <c r="D120" s="2"/>
      <c r="E120" s="2"/>
      <c r="F120" s="2"/>
      <c r="G120" s="2"/>
      <c r="H120" s="2"/>
      <c r="I120" s="2"/>
      <c r="J120" s="2"/>
      <c r="K120" s="2"/>
      <c r="L120" s="2"/>
      <c r="M120" s="2"/>
      <c r="N120" s="2"/>
      <c r="O120" s="2"/>
      <c r="P120" s="2"/>
      <c r="Q120" s="2"/>
      <c r="R120" s="2"/>
      <c r="S120" s="218"/>
      <c r="T120" s="218"/>
      <c r="U120" s="218"/>
      <c r="V120" s="218"/>
      <c r="W120" s="218"/>
      <c r="X120" s="218"/>
      <c r="Y120" s="218"/>
      <c r="Z120" s="218"/>
      <c r="AA120" s="218"/>
      <c r="AB120" s="4"/>
      <c r="AC120" s="4"/>
      <c r="AD120" s="4"/>
      <c r="AE120" s="4"/>
      <c r="AF120" s="4"/>
      <c r="AG120" s="4"/>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row>
    <row r="121" ht="14.25" customHeight="1">
      <c r="A121" s="132"/>
      <c r="B121" s="2"/>
      <c r="C121" s="2"/>
      <c r="D121" s="2"/>
      <c r="E121" s="2"/>
      <c r="F121" s="2"/>
      <c r="G121" s="2"/>
      <c r="H121" s="2"/>
      <c r="I121" s="2"/>
      <c r="J121" s="2"/>
      <c r="K121" s="2"/>
      <c r="L121" s="2"/>
      <c r="M121" s="2"/>
      <c r="N121" s="2"/>
      <c r="O121" s="2"/>
      <c r="P121" s="2"/>
      <c r="Q121" s="2"/>
      <c r="R121" s="2"/>
      <c r="S121" s="218"/>
      <c r="T121" s="218"/>
      <c r="U121" s="218"/>
      <c r="V121" s="218"/>
      <c r="W121" s="218"/>
      <c r="X121" s="218"/>
      <c r="Y121" s="218"/>
      <c r="Z121" s="218"/>
      <c r="AA121" s="218"/>
      <c r="AB121" s="4"/>
      <c r="AC121" s="4"/>
      <c r="AD121" s="4"/>
      <c r="AE121" s="4"/>
      <c r="AF121" s="4"/>
      <c r="AG121" s="4"/>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row>
    <row r="122" ht="14.25" customHeight="1">
      <c r="A122" s="132"/>
      <c r="B122" s="2"/>
      <c r="C122" s="2"/>
      <c r="D122" s="2"/>
      <c r="E122" s="2"/>
      <c r="F122" s="2"/>
      <c r="G122" s="2"/>
      <c r="H122" s="2"/>
      <c r="I122" s="2"/>
      <c r="J122" s="2"/>
      <c r="K122" s="2"/>
      <c r="L122" s="2"/>
      <c r="M122" s="2"/>
      <c r="N122" s="2"/>
      <c r="O122" s="2"/>
      <c r="P122" s="2"/>
      <c r="Q122" s="2"/>
      <c r="R122" s="2"/>
      <c r="S122" s="218"/>
      <c r="T122" s="218"/>
      <c r="U122" s="218"/>
      <c r="V122" s="218"/>
      <c r="W122" s="218"/>
      <c r="X122" s="218"/>
      <c r="Y122" s="218"/>
      <c r="Z122" s="218"/>
      <c r="AA122" s="218"/>
      <c r="AB122" s="4"/>
      <c r="AC122" s="4"/>
      <c r="AD122" s="4"/>
      <c r="AE122" s="4"/>
      <c r="AF122" s="4"/>
      <c r="AG122" s="4"/>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row>
    <row r="123" ht="14.25" customHeight="1">
      <c r="A123" s="132"/>
      <c r="B123" s="2"/>
      <c r="C123" s="2"/>
      <c r="D123" s="2"/>
      <c r="E123" s="2"/>
      <c r="F123" s="2"/>
      <c r="G123" s="2"/>
      <c r="H123" s="2"/>
      <c r="I123" s="2"/>
      <c r="J123" s="2"/>
      <c r="K123" s="2"/>
      <c r="L123" s="2"/>
      <c r="M123" s="2"/>
      <c r="N123" s="2"/>
      <c r="O123" s="2"/>
      <c r="P123" s="2"/>
      <c r="Q123" s="2"/>
      <c r="R123" s="2"/>
      <c r="S123" s="218"/>
      <c r="T123" s="218"/>
      <c r="U123" s="218"/>
      <c r="V123" s="218"/>
      <c r="W123" s="218"/>
      <c r="X123" s="218"/>
      <c r="Y123" s="218"/>
      <c r="Z123" s="218"/>
      <c r="AA123" s="218"/>
      <c r="AB123" s="4"/>
      <c r="AC123" s="4"/>
      <c r="AD123" s="4"/>
      <c r="AE123" s="4"/>
      <c r="AF123" s="4"/>
      <c r="AG123" s="4"/>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row>
    <row r="124" ht="14.25" customHeight="1">
      <c r="A124" s="132"/>
      <c r="B124" s="2"/>
      <c r="C124" s="2"/>
      <c r="D124" s="2"/>
      <c r="E124" s="2"/>
      <c r="F124" s="2"/>
      <c r="G124" s="2"/>
      <c r="H124" s="2"/>
      <c r="I124" s="2"/>
      <c r="J124" s="2"/>
      <c r="K124" s="2"/>
      <c r="L124" s="2"/>
      <c r="M124" s="2"/>
      <c r="N124" s="2"/>
      <c r="O124" s="2"/>
      <c r="P124" s="2"/>
      <c r="Q124" s="2"/>
      <c r="R124" s="2"/>
      <c r="S124" s="218"/>
      <c r="T124" s="218"/>
      <c r="U124" s="218"/>
      <c r="V124" s="218"/>
      <c r="W124" s="218"/>
      <c r="X124" s="218"/>
      <c r="Y124" s="218"/>
      <c r="Z124" s="218"/>
      <c r="AA124" s="218"/>
      <c r="AB124" s="4"/>
      <c r="AC124" s="4"/>
      <c r="AD124" s="4"/>
      <c r="AE124" s="4"/>
      <c r="AF124" s="4"/>
      <c r="AG124" s="4"/>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row>
    <row r="125" ht="14.25" customHeight="1">
      <c r="A125" s="132"/>
      <c r="B125" s="2"/>
      <c r="C125" s="2"/>
      <c r="D125" s="2"/>
      <c r="E125" s="2"/>
      <c r="F125" s="2"/>
      <c r="G125" s="2"/>
      <c r="H125" s="2"/>
      <c r="I125" s="2"/>
      <c r="J125" s="2"/>
      <c r="K125" s="2"/>
      <c r="L125" s="2"/>
      <c r="M125" s="2"/>
      <c r="N125" s="2"/>
      <c r="O125" s="2"/>
      <c r="P125" s="2"/>
      <c r="Q125" s="2"/>
      <c r="R125" s="2"/>
      <c r="S125" s="218"/>
      <c r="T125" s="218"/>
      <c r="U125" s="218"/>
      <c r="V125" s="218"/>
      <c r="W125" s="218"/>
      <c r="X125" s="218"/>
      <c r="Y125" s="218"/>
      <c r="Z125" s="218"/>
      <c r="AA125" s="218"/>
      <c r="AB125" s="4"/>
      <c r="AC125" s="4"/>
      <c r="AD125" s="4"/>
      <c r="AE125" s="4"/>
      <c r="AF125" s="4"/>
      <c r="AG125" s="4"/>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row>
    <row r="126" ht="14.25" customHeight="1">
      <c r="A126" s="132"/>
      <c r="B126" s="2"/>
      <c r="C126" s="2"/>
      <c r="D126" s="2"/>
      <c r="E126" s="2"/>
      <c r="F126" s="2"/>
      <c r="G126" s="2"/>
      <c r="H126" s="2"/>
      <c r="I126" s="2"/>
      <c r="J126" s="2"/>
      <c r="K126" s="2"/>
      <c r="L126" s="2"/>
      <c r="M126" s="2"/>
      <c r="N126" s="2"/>
      <c r="O126" s="2"/>
      <c r="P126" s="2"/>
      <c r="Q126" s="2"/>
      <c r="R126" s="2"/>
      <c r="S126" s="218"/>
      <c r="T126" s="218"/>
      <c r="U126" s="218"/>
      <c r="V126" s="218"/>
      <c r="W126" s="218"/>
      <c r="X126" s="218"/>
      <c r="Y126" s="218"/>
      <c r="Z126" s="218"/>
      <c r="AA126" s="218"/>
      <c r="AB126" s="4"/>
      <c r="AC126" s="4"/>
      <c r="AD126" s="4"/>
      <c r="AE126" s="4"/>
      <c r="AF126" s="4"/>
      <c r="AG126" s="4"/>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row>
    <row r="127" ht="14.25" customHeight="1">
      <c r="A127" s="132"/>
      <c r="B127" s="2"/>
      <c r="C127" s="2"/>
      <c r="D127" s="2"/>
      <c r="E127" s="2"/>
      <c r="F127" s="2"/>
      <c r="G127" s="2"/>
      <c r="H127" s="2"/>
      <c r="I127" s="2"/>
      <c r="J127" s="2"/>
      <c r="K127" s="2"/>
      <c r="L127" s="2"/>
      <c r="M127" s="2"/>
      <c r="N127" s="2"/>
      <c r="O127" s="2"/>
      <c r="P127" s="2"/>
      <c r="Q127" s="2"/>
      <c r="R127" s="2"/>
      <c r="S127" s="218"/>
      <c r="T127" s="218"/>
      <c r="U127" s="218"/>
      <c r="V127" s="218"/>
      <c r="W127" s="218"/>
      <c r="X127" s="218"/>
      <c r="Y127" s="218"/>
      <c r="Z127" s="218"/>
      <c r="AA127" s="218"/>
      <c r="AB127" s="4"/>
      <c r="AC127" s="4"/>
      <c r="AD127" s="4"/>
      <c r="AE127" s="4"/>
      <c r="AF127" s="4"/>
      <c r="AG127" s="4"/>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row>
    <row r="128" ht="14.25" customHeight="1">
      <c r="A128" s="132"/>
      <c r="B128" s="2"/>
      <c r="C128" s="2"/>
      <c r="D128" s="2"/>
      <c r="E128" s="2"/>
      <c r="F128" s="2"/>
      <c r="G128" s="2"/>
      <c r="H128" s="2"/>
      <c r="I128" s="2"/>
      <c r="J128" s="2"/>
      <c r="K128" s="2"/>
      <c r="L128" s="2"/>
      <c r="M128" s="2"/>
      <c r="N128" s="2"/>
      <c r="O128" s="2"/>
      <c r="P128" s="2"/>
      <c r="Q128" s="2"/>
      <c r="R128" s="2"/>
      <c r="S128" s="218"/>
      <c r="T128" s="218"/>
      <c r="U128" s="218"/>
      <c r="V128" s="218"/>
      <c r="W128" s="218"/>
      <c r="X128" s="218"/>
      <c r="Y128" s="218"/>
      <c r="Z128" s="218"/>
      <c r="AA128" s="218"/>
      <c r="AB128" s="4"/>
      <c r="AC128" s="4"/>
      <c r="AD128" s="4"/>
      <c r="AE128" s="4"/>
      <c r="AF128" s="4"/>
      <c r="AG128" s="4"/>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row>
    <row r="129" ht="14.25" customHeight="1">
      <c r="A129" s="132"/>
      <c r="B129" s="2"/>
      <c r="C129" s="2"/>
      <c r="D129" s="2"/>
      <c r="E129" s="2"/>
      <c r="F129" s="2"/>
      <c r="G129" s="2"/>
      <c r="H129" s="2"/>
      <c r="I129" s="2"/>
      <c r="J129" s="2"/>
      <c r="K129" s="2"/>
      <c r="L129" s="2"/>
      <c r="M129" s="2"/>
      <c r="N129" s="2"/>
      <c r="O129" s="2"/>
      <c r="P129" s="2"/>
      <c r="Q129" s="2"/>
      <c r="R129" s="2"/>
      <c r="S129" s="218"/>
      <c r="T129" s="218"/>
      <c r="U129" s="218"/>
      <c r="V129" s="218"/>
      <c r="W129" s="218"/>
      <c r="X129" s="218"/>
      <c r="Y129" s="218"/>
      <c r="Z129" s="218"/>
      <c r="AA129" s="218"/>
      <c r="AB129" s="4"/>
      <c r="AC129" s="4"/>
      <c r="AD129" s="4"/>
      <c r="AE129" s="4"/>
      <c r="AF129" s="4"/>
      <c r="AG129" s="4"/>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row>
    <row r="130" ht="14.25" customHeight="1">
      <c r="A130" s="132"/>
      <c r="B130" s="2"/>
      <c r="C130" s="2"/>
      <c r="D130" s="2"/>
      <c r="E130" s="2"/>
      <c r="F130" s="2"/>
      <c r="G130" s="2"/>
      <c r="H130" s="2"/>
      <c r="I130" s="2"/>
      <c r="J130" s="2"/>
      <c r="K130" s="2"/>
      <c r="L130" s="2"/>
      <c r="M130" s="2"/>
      <c r="N130" s="2"/>
      <c r="O130" s="2"/>
      <c r="P130" s="2"/>
      <c r="Q130" s="2"/>
      <c r="R130" s="2"/>
      <c r="S130" s="218"/>
      <c r="T130" s="218"/>
      <c r="U130" s="218"/>
      <c r="V130" s="218"/>
      <c r="W130" s="218"/>
      <c r="X130" s="218"/>
      <c r="Y130" s="218"/>
      <c r="Z130" s="218"/>
      <c r="AA130" s="218"/>
      <c r="AB130" s="4"/>
      <c r="AC130" s="4"/>
      <c r="AD130" s="4"/>
      <c r="AE130" s="4"/>
      <c r="AF130" s="4"/>
      <c r="AG130" s="4"/>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row>
    <row r="131" ht="14.25" customHeight="1">
      <c r="A131" s="132"/>
      <c r="B131" s="2"/>
      <c r="C131" s="2"/>
      <c r="D131" s="2"/>
      <c r="E131" s="2"/>
      <c r="F131" s="2"/>
      <c r="G131" s="2"/>
      <c r="H131" s="2"/>
      <c r="I131" s="2"/>
      <c r="J131" s="2"/>
      <c r="K131" s="2"/>
      <c r="L131" s="2"/>
      <c r="M131" s="2"/>
      <c r="N131" s="223"/>
      <c r="O131" s="2"/>
      <c r="P131" s="2"/>
      <c r="Q131" s="2"/>
      <c r="R131" s="2"/>
      <c r="S131" s="218"/>
      <c r="T131" s="218"/>
      <c r="U131" s="218"/>
      <c r="V131" s="218"/>
      <c r="W131" s="218"/>
      <c r="X131" s="218"/>
      <c r="Y131" s="218"/>
      <c r="Z131" s="218"/>
      <c r="AA131" s="218"/>
      <c r="AB131" s="4"/>
      <c r="AC131" s="4"/>
      <c r="AD131" s="4"/>
      <c r="AE131" s="4"/>
      <c r="AF131" s="4"/>
      <c r="AG131" s="4"/>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row>
    <row r="132" ht="14.25" customHeight="1">
      <c r="A132" s="132"/>
      <c r="B132" s="2"/>
      <c r="C132" s="2"/>
      <c r="D132" s="2"/>
      <c r="E132" s="2"/>
      <c r="F132" s="2"/>
      <c r="G132" s="2"/>
      <c r="H132" s="2"/>
      <c r="I132" s="2"/>
      <c r="J132" s="2"/>
      <c r="K132" s="2"/>
      <c r="L132" s="2"/>
      <c r="M132" s="2"/>
      <c r="N132" s="2"/>
      <c r="O132" s="2"/>
      <c r="P132" s="2"/>
      <c r="Q132" s="2"/>
      <c r="R132" s="2"/>
      <c r="S132" s="218"/>
      <c r="T132" s="218"/>
      <c r="U132" s="218"/>
      <c r="V132" s="218"/>
      <c r="W132" s="218"/>
      <c r="X132" s="218"/>
      <c r="Y132" s="218"/>
      <c r="Z132" s="218"/>
      <c r="AA132" s="218"/>
      <c r="AB132" s="4"/>
      <c r="AC132" s="4"/>
      <c r="AD132" s="4"/>
      <c r="AE132" s="4"/>
      <c r="AF132" s="4"/>
      <c r="AG132" s="4"/>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row>
    <row r="133" ht="14.25" customHeight="1">
      <c r="A133" s="132"/>
      <c r="B133" s="2"/>
      <c r="C133" s="2"/>
      <c r="D133" s="2"/>
      <c r="E133" s="2"/>
      <c r="F133" s="2"/>
      <c r="G133" s="2"/>
      <c r="H133" s="2"/>
      <c r="I133" s="2"/>
      <c r="J133" s="2"/>
      <c r="K133" s="2"/>
      <c r="L133" s="2"/>
      <c r="M133" s="2"/>
      <c r="N133" s="2"/>
      <c r="O133" s="2"/>
      <c r="P133" s="2"/>
      <c r="Q133" s="2"/>
      <c r="R133" s="2"/>
      <c r="S133" s="218"/>
      <c r="T133" s="218"/>
      <c r="U133" s="218"/>
      <c r="V133" s="218"/>
      <c r="W133" s="218"/>
      <c r="X133" s="218"/>
      <c r="Y133" s="218"/>
      <c r="Z133" s="218"/>
      <c r="AA133" s="218"/>
      <c r="AB133" s="4"/>
      <c r="AC133" s="4"/>
      <c r="AD133" s="4"/>
      <c r="AE133" s="4"/>
      <c r="AF133" s="4"/>
      <c r="AG133" s="4"/>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row>
    <row r="134" ht="14.25" customHeight="1">
      <c r="A134" s="132"/>
      <c r="B134" s="2"/>
      <c r="C134" s="2"/>
      <c r="D134" s="2"/>
      <c r="E134" s="2"/>
      <c r="F134" s="2"/>
      <c r="G134" s="2"/>
      <c r="H134" s="2"/>
      <c r="I134" s="2"/>
      <c r="J134" s="2"/>
      <c r="K134" s="2"/>
      <c r="L134" s="2"/>
      <c r="M134" s="2"/>
      <c r="N134" s="2"/>
      <c r="O134" s="2"/>
      <c r="P134" s="2"/>
      <c r="Q134" s="2"/>
      <c r="R134" s="2"/>
      <c r="S134" s="218"/>
      <c r="T134" s="218"/>
      <c r="U134" s="218"/>
      <c r="V134" s="218"/>
      <c r="W134" s="218"/>
      <c r="X134" s="218"/>
      <c r="Y134" s="218"/>
      <c r="Z134" s="218"/>
      <c r="AA134" s="218"/>
      <c r="AB134" s="4"/>
      <c r="AC134" s="4"/>
      <c r="AD134" s="4"/>
      <c r="AE134" s="4"/>
      <c r="AF134" s="4"/>
      <c r="AG134" s="4"/>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row>
    <row r="135" ht="14.25" customHeight="1">
      <c r="A135" s="132"/>
      <c r="B135" s="2"/>
      <c r="C135" s="2"/>
      <c r="D135" s="2"/>
      <c r="E135" s="2"/>
      <c r="F135" s="2"/>
      <c r="G135" s="2"/>
      <c r="H135" s="2"/>
      <c r="I135" s="2"/>
      <c r="J135" s="2"/>
      <c r="K135" s="2"/>
      <c r="L135" s="2"/>
      <c r="M135" s="2"/>
      <c r="N135" s="2"/>
      <c r="O135" s="2"/>
      <c r="P135" s="2"/>
      <c r="Q135" s="2"/>
      <c r="R135" s="2"/>
      <c r="S135" s="218"/>
      <c r="T135" s="218"/>
      <c r="U135" s="218"/>
      <c r="V135" s="218"/>
      <c r="W135" s="218"/>
      <c r="X135" s="218"/>
      <c r="Y135" s="218"/>
      <c r="Z135" s="218"/>
      <c r="AA135" s="218"/>
      <c r="AB135" s="4"/>
      <c r="AC135" s="4"/>
      <c r="AD135" s="4"/>
      <c r="AE135" s="4"/>
      <c r="AF135" s="4"/>
      <c r="AG135" s="4"/>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row>
    <row r="136" ht="14.25" customHeight="1">
      <c r="A136" s="132"/>
      <c r="B136" s="2"/>
      <c r="C136" s="2"/>
      <c r="D136" s="2"/>
      <c r="E136" s="2"/>
      <c r="F136" s="2"/>
      <c r="G136" s="2"/>
      <c r="H136" s="2"/>
      <c r="I136" s="2"/>
      <c r="J136" s="2"/>
      <c r="K136" s="2"/>
      <c r="L136" s="2"/>
      <c r="M136" s="2"/>
      <c r="N136" s="2"/>
      <c r="O136" s="2"/>
      <c r="P136" s="2"/>
      <c r="Q136" s="2"/>
      <c r="R136" s="2"/>
      <c r="S136" s="218"/>
      <c r="T136" s="218"/>
      <c r="U136" s="218"/>
      <c r="V136" s="218"/>
      <c r="W136" s="218"/>
      <c r="X136" s="218"/>
      <c r="Y136" s="218"/>
      <c r="Z136" s="218"/>
      <c r="AA136" s="218"/>
      <c r="AB136" s="4"/>
      <c r="AC136" s="4"/>
      <c r="AD136" s="4"/>
      <c r="AE136" s="4"/>
      <c r="AF136" s="4"/>
      <c r="AG136" s="4"/>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row>
    <row r="137" ht="14.25" customHeight="1">
      <c r="A137" s="132"/>
      <c r="B137" s="2"/>
      <c r="C137" s="2"/>
      <c r="D137" s="2"/>
      <c r="E137" s="2"/>
      <c r="F137" s="2"/>
      <c r="G137" s="2"/>
      <c r="H137" s="2"/>
      <c r="I137" s="2"/>
      <c r="J137" s="2"/>
      <c r="K137" s="2"/>
      <c r="L137" s="2"/>
      <c r="M137" s="2"/>
      <c r="N137" s="2"/>
      <c r="O137" s="2"/>
      <c r="P137" s="2"/>
      <c r="Q137" s="2"/>
      <c r="R137" s="2"/>
      <c r="S137" s="218"/>
      <c r="T137" s="218"/>
      <c r="U137" s="218"/>
      <c r="V137" s="218"/>
      <c r="W137" s="218"/>
      <c r="X137" s="218"/>
      <c r="Y137" s="218"/>
      <c r="Z137" s="218"/>
      <c r="AA137" s="218"/>
      <c r="AB137" s="4"/>
      <c r="AC137" s="4"/>
      <c r="AD137" s="4"/>
      <c r="AE137" s="4"/>
      <c r="AF137" s="4"/>
      <c r="AG137" s="4"/>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row>
    <row r="138" ht="14.25" customHeight="1">
      <c r="A138" s="132"/>
      <c r="B138" s="2"/>
      <c r="C138" s="2"/>
      <c r="D138" s="2"/>
      <c r="E138" s="2"/>
      <c r="F138" s="2"/>
      <c r="G138" s="2"/>
      <c r="H138" s="2"/>
      <c r="I138" s="2"/>
      <c r="J138" s="2"/>
      <c r="K138" s="2"/>
      <c r="L138" s="2"/>
      <c r="M138" s="2"/>
      <c r="N138" s="2"/>
      <c r="O138" s="2"/>
      <c r="P138" s="2"/>
      <c r="Q138" s="2"/>
      <c r="R138" s="2"/>
      <c r="S138" s="218"/>
      <c r="T138" s="218"/>
      <c r="U138" s="218"/>
      <c r="V138" s="218"/>
      <c r="W138" s="218"/>
      <c r="X138" s="218"/>
      <c r="Y138" s="218"/>
      <c r="Z138" s="218"/>
      <c r="AA138" s="218"/>
      <c r="AB138" s="4"/>
      <c r="AC138" s="4"/>
      <c r="AD138" s="4"/>
      <c r="AE138" s="4"/>
      <c r="AF138" s="4"/>
      <c r="AG138" s="4"/>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row>
    <row r="139" ht="14.25" customHeight="1">
      <c r="A139" s="132"/>
      <c r="B139" s="2"/>
      <c r="C139" s="2"/>
      <c r="D139" s="2"/>
      <c r="E139" s="2"/>
      <c r="F139" s="2"/>
      <c r="G139" s="2"/>
      <c r="H139" s="2"/>
      <c r="I139" s="2"/>
      <c r="J139" s="2"/>
      <c r="K139" s="2"/>
      <c r="L139" s="2"/>
      <c r="M139" s="2"/>
      <c r="N139" s="2"/>
      <c r="O139" s="2"/>
      <c r="P139" s="2"/>
      <c r="Q139" s="2"/>
      <c r="R139" s="2"/>
      <c r="S139" s="218"/>
      <c r="T139" s="218"/>
      <c r="U139" s="218"/>
      <c r="V139" s="218"/>
      <c r="W139" s="218"/>
      <c r="X139" s="218"/>
      <c r="Y139" s="218"/>
      <c r="Z139" s="218"/>
      <c r="AA139" s="218"/>
      <c r="AB139" s="4"/>
      <c r="AC139" s="4"/>
      <c r="AD139" s="4"/>
      <c r="AE139" s="4"/>
      <c r="AF139" s="4"/>
      <c r="AG139" s="4"/>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row>
    <row r="140" ht="14.25" customHeight="1">
      <c r="A140" s="132"/>
      <c r="B140" s="2"/>
      <c r="C140" s="2"/>
      <c r="D140" s="2"/>
      <c r="E140" s="2"/>
      <c r="F140" s="2"/>
      <c r="G140" s="2"/>
      <c r="H140" s="2"/>
      <c r="I140" s="2"/>
      <c r="J140" s="2"/>
      <c r="K140" s="2"/>
      <c r="L140" s="2"/>
      <c r="M140" s="2"/>
      <c r="N140" s="2"/>
      <c r="O140" s="2"/>
      <c r="P140" s="2"/>
      <c r="Q140" s="2"/>
      <c r="R140" s="2"/>
      <c r="S140" s="218"/>
      <c r="T140" s="218"/>
      <c r="U140" s="218"/>
      <c r="V140" s="218"/>
      <c r="W140" s="218"/>
      <c r="X140" s="218"/>
      <c r="Y140" s="218"/>
      <c r="Z140" s="218"/>
      <c r="AA140" s="218"/>
      <c r="AB140" s="4"/>
      <c r="AC140" s="4"/>
      <c r="AD140" s="4"/>
      <c r="AE140" s="4"/>
      <c r="AF140" s="4"/>
      <c r="AG140" s="4"/>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row>
    <row r="141" ht="14.25" customHeight="1">
      <c r="A141" s="132"/>
      <c r="B141" s="2"/>
      <c r="C141" s="2"/>
      <c r="D141" s="2"/>
      <c r="E141" s="2"/>
      <c r="F141" s="2"/>
      <c r="G141" s="2"/>
      <c r="H141" s="2"/>
      <c r="I141" s="2"/>
      <c r="J141" s="2"/>
      <c r="K141" s="2"/>
      <c r="L141" s="2"/>
      <c r="M141" s="2"/>
      <c r="N141" s="2"/>
      <c r="O141" s="2"/>
      <c r="P141" s="2"/>
      <c r="Q141" s="2"/>
      <c r="R141" s="2"/>
      <c r="S141" s="218"/>
      <c r="T141" s="218"/>
      <c r="U141" s="218"/>
      <c r="V141" s="218"/>
      <c r="W141" s="218"/>
      <c r="X141" s="218"/>
      <c r="Y141" s="218"/>
      <c r="Z141" s="218"/>
      <c r="AA141" s="218"/>
      <c r="AB141" s="4"/>
      <c r="AC141" s="4"/>
      <c r="AD141" s="4"/>
      <c r="AE141" s="4"/>
      <c r="AF141" s="4"/>
      <c r="AG141" s="4"/>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row>
    <row r="142" ht="14.25" customHeight="1">
      <c r="A142" s="132"/>
      <c r="B142" s="2"/>
      <c r="C142" s="2"/>
      <c r="D142" s="2"/>
      <c r="E142" s="2"/>
      <c r="F142" s="2"/>
      <c r="G142" s="2"/>
      <c r="H142" s="2"/>
      <c r="I142" s="2"/>
      <c r="J142" s="2"/>
      <c r="K142" s="2"/>
      <c r="L142" s="2"/>
      <c r="M142" s="2"/>
      <c r="N142" s="2"/>
      <c r="O142" s="2"/>
      <c r="P142" s="2"/>
      <c r="Q142" s="2"/>
      <c r="R142" s="2"/>
      <c r="S142" s="218"/>
      <c r="T142" s="218"/>
      <c r="U142" s="218"/>
      <c r="V142" s="218"/>
      <c r="W142" s="218"/>
      <c r="X142" s="218"/>
      <c r="Y142" s="218"/>
      <c r="Z142" s="218"/>
      <c r="AA142" s="218"/>
      <c r="AB142" s="4"/>
      <c r="AC142" s="4"/>
      <c r="AD142" s="4"/>
      <c r="AE142" s="4"/>
      <c r="AF142" s="4"/>
      <c r="AG142" s="4"/>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row>
    <row r="143" ht="14.25" customHeight="1">
      <c r="A143" s="132"/>
      <c r="B143" s="2"/>
      <c r="C143" s="2"/>
      <c r="D143" s="2"/>
      <c r="E143" s="2"/>
      <c r="F143" s="2"/>
      <c r="G143" s="2"/>
      <c r="H143" s="2"/>
      <c r="I143" s="2"/>
      <c r="J143" s="2"/>
      <c r="K143" s="2"/>
      <c r="L143" s="2"/>
      <c r="M143" s="2"/>
      <c r="N143" s="2"/>
      <c r="O143" s="2"/>
      <c r="P143" s="2"/>
      <c r="Q143" s="2"/>
      <c r="R143" s="2"/>
      <c r="S143" s="218"/>
      <c r="T143" s="218"/>
      <c r="U143" s="218"/>
      <c r="V143" s="218"/>
      <c r="W143" s="218"/>
      <c r="X143" s="218"/>
      <c r="Y143" s="218"/>
      <c r="Z143" s="218"/>
      <c r="AA143" s="218"/>
      <c r="AB143" s="4"/>
      <c r="AC143" s="4"/>
      <c r="AD143" s="4"/>
      <c r="AE143" s="4"/>
      <c r="AF143" s="4"/>
      <c r="AG143" s="4"/>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row>
    <row r="144" ht="14.25" customHeight="1">
      <c r="A144" s="132"/>
      <c r="B144" s="2"/>
      <c r="C144" s="2"/>
      <c r="D144" s="2"/>
      <c r="E144" s="2"/>
      <c r="F144" s="2"/>
      <c r="G144" s="2"/>
      <c r="H144" s="2"/>
      <c r="I144" s="2"/>
      <c r="J144" s="2"/>
      <c r="K144" s="2"/>
      <c r="L144" s="2"/>
      <c r="M144" s="2"/>
      <c r="N144" s="2"/>
      <c r="O144" s="2"/>
      <c r="P144" s="2"/>
      <c r="Q144" s="2"/>
      <c r="R144" s="2"/>
      <c r="S144" s="218"/>
      <c r="T144" s="218"/>
      <c r="U144" s="218"/>
      <c r="V144" s="218"/>
      <c r="W144" s="218"/>
      <c r="X144" s="218"/>
      <c r="Y144" s="218"/>
      <c r="Z144" s="218"/>
      <c r="AA144" s="218"/>
      <c r="AB144" s="4"/>
      <c r="AC144" s="4"/>
      <c r="AD144" s="4"/>
      <c r="AE144" s="4"/>
      <c r="AF144" s="4"/>
      <c r="AG144" s="4"/>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row>
    <row r="145" ht="14.25" customHeight="1">
      <c r="A145" s="132"/>
      <c r="B145" s="2"/>
      <c r="C145" s="2"/>
      <c r="D145" s="2"/>
      <c r="E145" s="2"/>
      <c r="F145" s="2"/>
      <c r="G145" s="2"/>
      <c r="H145" s="2"/>
      <c r="I145" s="2"/>
      <c r="J145" s="2"/>
      <c r="K145" s="2"/>
      <c r="L145" s="2"/>
      <c r="M145" s="2"/>
      <c r="N145" s="2"/>
      <c r="O145" s="2"/>
      <c r="P145" s="2"/>
      <c r="Q145" s="2"/>
      <c r="R145" s="2"/>
      <c r="S145" s="218"/>
      <c r="T145" s="218"/>
      <c r="U145" s="218"/>
      <c r="V145" s="218"/>
      <c r="W145" s="218"/>
      <c r="X145" s="218"/>
      <c r="Y145" s="218"/>
      <c r="Z145" s="218"/>
      <c r="AA145" s="218"/>
      <c r="AB145" s="4"/>
      <c r="AC145" s="4"/>
      <c r="AD145" s="4"/>
      <c r="AE145" s="4"/>
      <c r="AF145" s="4"/>
      <c r="AG145" s="4"/>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row>
    <row r="146" ht="14.25" customHeight="1">
      <c r="A146" s="132"/>
      <c r="B146" s="2"/>
      <c r="C146" s="2"/>
      <c r="D146" s="2"/>
      <c r="E146" s="2"/>
      <c r="F146" s="2"/>
      <c r="G146" s="2"/>
      <c r="H146" s="2"/>
      <c r="I146" s="2"/>
      <c r="J146" s="2"/>
      <c r="K146" s="2"/>
      <c r="L146" s="2"/>
      <c r="M146" s="2"/>
      <c r="N146" s="2"/>
      <c r="O146" s="2"/>
      <c r="P146" s="2"/>
      <c r="Q146" s="2"/>
      <c r="R146" s="2"/>
      <c r="S146" s="218"/>
      <c r="T146" s="218"/>
      <c r="U146" s="218"/>
      <c r="V146" s="218"/>
      <c r="W146" s="218"/>
      <c r="X146" s="218"/>
      <c r="Y146" s="218"/>
      <c r="Z146" s="218"/>
      <c r="AA146" s="218"/>
      <c r="AB146" s="4"/>
      <c r="AC146" s="4"/>
      <c r="AD146" s="4"/>
      <c r="AE146" s="4"/>
      <c r="AF146" s="4"/>
      <c r="AG146" s="4"/>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row>
    <row r="147" ht="14.25" customHeight="1">
      <c r="A147" s="132"/>
      <c r="B147" s="2"/>
      <c r="C147" s="2"/>
      <c r="D147" s="2"/>
      <c r="E147" s="2"/>
      <c r="F147" s="2"/>
      <c r="G147" s="2"/>
      <c r="H147" s="2"/>
      <c r="I147" s="2"/>
      <c r="J147" s="2"/>
      <c r="K147" s="2"/>
      <c r="L147" s="2"/>
      <c r="M147" s="2"/>
      <c r="N147" s="2"/>
      <c r="O147" s="2"/>
      <c r="P147" s="2"/>
      <c r="Q147" s="2"/>
      <c r="R147" s="2"/>
      <c r="S147" s="218"/>
      <c r="T147" s="218"/>
      <c r="U147" s="218"/>
      <c r="V147" s="218"/>
      <c r="W147" s="218"/>
      <c r="X147" s="218"/>
      <c r="Y147" s="218"/>
      <c r="Z147" s="218"/>
      <c r="AA147" s="218"/>
      <c r="AB147" s="4"/>
      <c r="AC147" s="4"/>
      <c r="AD147" s="4"/>
      <c r="AE147" s="4"/>
      <c r="AF147" s="4"/>
      <c r="AG147" s="4"/>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row>
    <row r="148" ht="14.25" customHeight="1">
      <c r="A148" s="132"/>
      <c r="B148" s="2"/>
      <c r="C148" s="2"/>
      <c r="D148" s="2"/>
      <c r="E148" s="2"/>
      <c r="F148" s="2"/>
      <c r="G148" s="2"/>
      <c r="H148" s="2"/>
      <c r="I148" s="2"/>
      <c r="J148" s="2"/>
      <c r="K148" s="2"/>
      <c r="L148" s="2"/>
      <c r="M148" s="223"/>
      <c r="N148" s="2"/>
      <c r="O148" s="2"/>
      <c r="P148" s="2"/>
      <c r="Q148" s="2"/>
      <c r="R148" s="2"/>
      <c r="S148" s="218"/>
      <c r="T148" s="218"/>
      <c r="U148" s="218"/>
      <c r="V148" s="218"/>
      <c r="W148" s="218"/>
      <c r="X148" s="218"/>
      <c r="Y148" s="218"/>
      <c r="Z148" s="218"/>
      <c r="AA148" s="218"/>
      <c r="AB148" s="4"/>
      <c r="AC148" s="4"/>
      <c r="AD148" s="4"/>
      <c r="AE148" s="4"/>
      <c r="AF148" s="4"/>
      <c r="AG148" s="4"/>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row>
    <row r="149" ht="14.25" customHeight="1">
      <c r="A149" s="132"/>
      <c r="B149" s="2"/>
      <c r="C149" s="2"/>
      <c r="D149" s="2"/>
      <c r="E149" s="2"/>
      <c r="F149" s="2"/>
      <c r="G149" s="2"/>
      <c r="H149" s="2"/>
      <c r="I149" s="2"/>
      <c r="J149" s="2"/>
      <c r="K149" s="2"/>
      <c r="L149" s="2"/>
      <c r="M149" s="2"/>
      <c r="N149" s="2"/>
      <c r="O149" s="2"/>
      <c r="P149" s="2"/>
      <c r="Q149" s="2"/>
      <c r="R149" s="2"/>
      <c r="S149" s="218"/>
      <c r="T149" s="218"/>
      <c r="U149" s="218"/>
      <c r="V149" s="218"/>
      <c r="W149" s="218"/>
      <c r="X149" s="218"/>
      <c r="Y149" s="218"/>
      <c r="Z149" s="218"/>
      <c r="AA149" s="218"/>
      <c r="AB149" s="4"/>
      <c r="AC149" s="4"/>
      <c r="AD149" s="4"/>
      <c r="AE149" s="4"/>
      <c r="AF149" s="4"/>
      <c r="AG149" s="4"/>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row>
    <row r="150" ht="14.25" customHeight="1">
      <c r="A150" s="132"/>
      <c r="B150" s="2"/>
      <c r="C150" s="2"/>
      <c r="D150" s="2"/>
      <c r="E150" s="2"/>
      <c r="F150" s="2"/>
      <c r="G150" s="2"/>
      <c r="H150" s="2"/>
      <c r="I150" s="2"/>
      <c r="J150" s="2"/>
      <c r="K150" s="2"/>
      <c r="L150" s="2"/>
      <c r="M150" s="2"/>
      <c r="N150" s="2"/>
      <c r="O150" s="2"/>
      <c r="P150" s="2"/>
      <c r="Q150" s="2"/>
      <c r="R150" s="2"/>
      <c r="S150" s="218"/>
      <c r="T150" s="218"/>
      <c r="U150" s="218"/>
      <c r="V150" s="218"/>
      <c r="W150" s="218"/>
      <c r="X150" s="218"/>
      <c r="Y150" s="218"/>
      <c r="Z150" s="218"/>
      <c r="AA150" s="218"/>
      <c r="AB150" s="4"/>
      <c r="AC150" s="4"/>
      <c r="AD150" s="4"/>
      <c r="AE150" s="4"/>
      <c r="AF150" s="4"/>
      <c r="AG150" s="4"/>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row>
    <row r="151" ht="14.25" customHeight="1">
      <c r="A151" s="132"/>
      <c r="B151" s="2"/>
      <c r="C151" s="2"/>
      <c r="D151" s="2"/>
      <c r="E151" s="2"/>
      <c r="F151" s="2"/>
      <c r="G151" s="2"/>
      <c r="H151" s="2"/>
      <c r="I151" s="2"/>
      <c r="J151" s="2"/>
      <c r="K151" s="2"/>
      <c r="L151" s="2"/>
      <c r="M151" s="2"/>
      <c r="N151" s="2"/>
      <c r="O151" s="2"/>
      <c r="P151" s="2"/>
      <c r="Q151" s="2"/>
      <c r="R151" s="2"/>
      <c r="S151" s="218"/>
      <c r="T151" s="218"/>
      <c r="U151" s="218"/>
      <c r="V151" s="218"/>
      <c r="W151" s="218"/>
      <c r="X151" s="218"/>
      <c r="Y151" s="218"/>
      <c r="Z151" s="218"/>
      <c r="AA151" s="218"/>
      <c r="AB151" s="4"/>
      <c r="AC151" s="4"/>
      <c r="AD151" s="4"/>
      <c r="AE151" s="4"/>
      <c r="AF151" s="4"/>
      <c r="AG151" s="4"/>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row>
    <row r="152" ht="14.25" customHeight="1">
      <c r="A152" s="132"/>
      <c r="B152" s="2"/>
      <c r="C152" s="2"/>
      <c r="D152" s="2"/>
      <c r="E152" s="2"/>
      <c r="F152" s="2"/>
      <c r="G152" s="2"/>
      <c r="H152" s="2"/>
      <c r="I152" s="2"/>
      <c r="J152" s="2"/>
      <c r="K152" s="2"/>
      <c r="L152" s="2"/>
      <c r="M152" s="2"/>
      <c r="N152" s="2"/>
      <c r="O152" s="2"/>
      <c r="P152" s="2"/>
      <c r="Q152" s="2"/>
      <c r="R152" s="2"/>
      <c r="S152" s="218"/>
      <c r="T152" s="218"/>
      <c r="U152" s="218"/>
      <c r="V152" s="218"/>
      <c r="W152" s="218"/>
      <c r="X152" s="218"/>
      <c r="Y152" s="218"/>
      <c r="Z152" s="218"/>
      <c r="AA152" s="218"/>
      <c r="AB152" s="4"/>
      <c r="AC152" s="4"/>
      <c r="AD152" s="4"/>
      <c r="AE152" s="4"/>
      <c r="AF152" s="4"/>
      <c r="AG152" s="4"/>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row>
    <row r="153" ht="14.25" customHeight="1">
      <c r="A153" s="132"/>
      <c r="B153" s="2"/>
      <c r="C153" s="2"/>
      <c r="D153" s="2"/>
      <c r="E153" s="2"/>
      <c r="F153" s="2"/>
      <c r="G153" s="2"/>
      <c r="H153" s="2"/>
      <c r="I153" s="2"/>
      <c r="J153" s="2"/>
      <c r="K153" s="2"/>
      <c r="L153" s="2"/>
      <c r="M153" s="2"/>
      <c r="N153" s="2"/>
      <c r="O153" s="2"/>
      <c r="P153" s="2"/>
      <c r="Q153" s="2"/>
      <c r="R153" s="2"/>
      <c r="S153" s="218"/>
      <c r="T153" s="218"/>
      <c r="U153" s="218"/>
      <c r="V153" s="218"/>
      <c r="W153" s="218"/>
      <c r="X153" s="218"/>
      <c r="Y153" s="218"/>
      <c r="Z153" s="218"/>
      <c r="AA153" s="218"/>
      <c r="AB153" s="4"/>
      <c r="AC153" s="4"/>
      <c r="AD153" s="4"/>
      <c r="AE153" s="4"/>
      <c r="AF153" s="4"/>
      <c r="AG153" s="4"/>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row>
    <row r="154" ht="14.25" customHeight="1">
      <c r="A154" s="132"/>
      <c r="B154" s="2"/>
      <c r="C154" s="2"/>
      <c r="D154" s="2"/>
      <c r="E154" s="2"/>
      <c r="F154" s="2"/>
      <c r="G154" s="2"/>
      <c r="H154" s="2"/>
      <c r="I154" s="2"/>
      <c r="J154" s="2"/>
      <c r="K154" s="2"/>
      <c r="L154" s="2"/>
      <c r="M154" s="2"/>
      <c r="N154" s="2"/>
      <c r="O154" s="2"/>
      <c r="P154" s="2"/>
      <c r="Q154" s="2"/>
      <c r="R154" s="2"/>
      <c r="S154" s="218"/>
      <c r="T154" s="218"/>
      <c r="U154" s="218"/>
      <c r="V154" s="218"/>
      <c r="W154" s="218"/>
      <c r="X154" s="218"/>
      <c r="Y154" s="218"/>
      <c r="Z154" s="218"/>
      <c r="AA154" s="218"/>
      <c r="AB154" s="4"/>
      <c r="AC154" s="4"/>
      <c r="AD154" s="4"/>
      <c r="AE154" s="4"/>
      <c r="AF154" s="4"/>
      <c r="AG154" s="4"/>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row>
    <row r="155" ht="14.25" customHeight="1">
      <c r="A155" s="132"/>
      <c r="B155" s="2"/>
      <c r="C155" s="2"/>
      <c r="D155" s="2"/>
      <c r="E155" s="2"/>
      <c r="F155" s="2"/>
      <c r="G155" s="2"/>
      <c r="H155" s="2"/>
      <c r="I155" s="2"/>
      <c r="J155" s="2"/>
      <c r="K155" s="2"/>
      <c r="L155" s="2"/>
      <c r="M155" s="2"/>
      <c r="N155" s="2"/>
      <c r="O155" s="2"/>
      <c r="P155" s="2"/>
      <c r="Q155" s="2"/>
      <c r="R155" s="2"/>
      <c r="S155" s="218"/>
      <c r="T155" s="218"/>
      <c r="U155" s="218"/>
      <c r="V155" s="218"/>
      <c r="W155" s="218"/>
      <c r="X155" s="218"/>
      <c r="Y155" s="218"/>
      <c r="Z155" s="218"/>
      <c r="AA155" s="218"/>
      <c r="AB155" s="4"/>
      <c r="AC155" s="4"/>
      <c r="AD155" s="4"/>
      <c r="AE155" s="4"/>
      <c r="AF155" s="4"/>
      <c r="AG155" s="4"/>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row>
    <row r="156" ht="14.25" customHeight="1">
      <c r="A156" s="132"/>
      <c r="B156" s="2"/>
      <c r="C156" s="2"/>
      <c r="D156" s="2"/>
      <c r="E156" s="2"/>
      <c r="F156" s="2"/>
      <c r="G156" s="2"/>
      <c r="H156" s="2"/>
      <c r="I156" s="2"/>
      <c r="J156" s="2"/>
      <c r="K156" s="2"/>
      <c r="L156" s="2"/>
      <c r="M156" s="2"/>
      <c r="N156" s="2"/>
      <c r="O156" s="2"/>
      <c r="P156" s="2"/>
      <c r="Q156" s="2"/>
      <c r="R156" s="2"/>
      <c r="S156" s="218"/>
      <c r="T156" s="218"/>
      <c r="U156" s="218"/>
      <c r="V156" s="218"/>
      <c r="W156" s="218"/>
      <c r="X156" s="218"/>
      <c r="Y156" s="218"/>
      <c r="Z156" s="218"/>
      <c r="AA156" s="218"/>
      <c r="AB156" s="4"/>
      <c r="AC156" s="4"/>
      <c r="AD156" s="4"/>
      <c r="AE156" s="4"/>
      <c r="AF156" s="4"/>
      <c r="AG156" s="4"/>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row>
    <row r="157" ht="14.25" customHeight="1">
      <c r="A157" s="132"/>
      <c r="B157" s="2"/>
      <c r="C157" s="2"/>
      <c r="D157" s="2"/>
      <c r="E157" s="2"/>
      <c r="F157" s="2"/>
      <c r="G157" s="2"/>
      <c r="H157" s="2"/>
      <c r="I157" s="2"/>
      <c r="J157" s="2"/>
      <c r="K157" s="2"/>
      <c r="L157" s="2"/>
      <c r="M157" s="2"/>
      <c r="N157" s="2"/>
      <c r="O157" s="2"/>
      <c r="P157" s="2"/>
      <c r="Q157" s="2"/>
      <c r="R157" s="2"/>
      <c r="S157" s="218"/>
      <c r="T157" s="218"/>
      <c r="U157" s="218"/>
      <c r="V157" s="218"/>
      <c r="W157" s="218"/>
      <c r="X157" s="218"/>
      <c r="Y157" s="218"/>
      <c r="Z157" s="218"/>
      <c r="AA157" s="218"/>
      <c r="AB157" s="4"/>
      <c r="AC157" s="4"/>
      <c r="AD157" s="4"/>
      <c r="AE157" s="4"/>
      <c r="AF157" s="4"/>
      <c r="AG157" s="4"/>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row>
    <row r="158" ht="14.25" customHeight="1">
      <c r="A158" s="132"/>
      <c r="B158" s="2"/>
      <c r="C158" s="2"/>
      <c r="D158" s="2"/>
      <c r="E158" s="2"/>
      <c r="F158" s="2"/>
      <c r="G158" s="2"/>
      <c r="H158" s="2"/>
      <c r="I158" s="2"/>
      <c r="J158" s="2"/>
      <c r="K158" s="2"/>
      <c r="L158" s="2"/>
      <c r="M158" s="2"/>
      <c r="N158" s="2"/>
      <c r="O158" s="2"/>
      <c r="P158" s="2"/>
      <c r="Q158" s="2"/>
      <c r="R158" s="2"/>
      <c r="S158" s="218"/>
      <c r="T158" s="218"/>
      <c r="U158" s="218"/>
      <c r="V158" s="218"/>
      <c r="W158" s="218"/>
      <c r="X158" s="218"/>
      <c r="Y158" s="218"/>
      <c r="Z158" s="218"/>
      <c r="AA158" s="218"/>
      <c r="AB158" s="4"/>
      <c r="AC158" s="4"/>
      <c r="AD158" s="4"/>
      <c r="AE158" s="4"/>
      <c r="AF158" s="4"/>
      <c r="AG158" s="4"/>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row>
    <row r="159" ht="14.25" customHeight="1">
      <c r="A159" s="132"/>
      <c r="B159" s="2"/>
      <c r="C159" s="2"/>
      <c r="D159" s="2"/>
      <c r="E159" s="2"/>
      <c r="F159" s="2"/>
      <c r="G159" s="2"/>
      <c r="H159" s="2"/>
      <c r="I159" s="2"/>
      <c r="J159" s="2"/>
      <c r="K159" s="2"/>
      <c r="L159" s="2"/>
      <c r="M159" s="2"/>
      <c r="N159" s="2"/>
      <c r="O159" s="2"/>
      <c r="P159" s="2"/>
      <c r="Q159" s="2"/>
      <c r="R159" s="2"/>
      <c r="S159" s="218"/>
      <c r="T159" s="218"/>
      <c r="U159" s="218"/>
      <c r="V159" s="218"/>
      <c r="W159" s="218"/>
      <c r="X159" s="218"/>
      <c r="Y159" s="218"/>
      <c r="Z159" s="218"/>
      <c r="AA159" s="218"/>
      <c r="AB159" s="4"/>
      <c r="AC159" s="4"/>
      <c r="AD159" s="4"/>
      <c r="AE159" s="4"/>
      <c r="AF159" s="4"/>
      <c r="AG159" s="4"/>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row>
    <row r="160" ht="14.25" customHeight="1">
      <c r="A160" s="132"/>
      <c r="B160" s="2"/>
      <c r="C160" s="2"/>
      <c r="D160" s="2"/>
      <c r="E160" s="2"/>
      <c r="F160" s="2"/>
      <c r="G160" s="2"/>
      <c r="H160" s="2"/>
      <c r="I160" s="2"/>
      <c r="J160" s="2"/>
      <c r="K160" s="2"/>
      <c r="L160" s="2"/>
      <c r="M160" s="2"/>
      <c r="N160" s="2"/>
      <c r="O160" s="2"/>
      <c r="P160" s="2"/>
      <c r="Q160" s="2"/>
      <c r="R160" s="2"/>
      <c r="S160" s="218"/>
      <c r="T160" s="218"/>
      <c r="U160" s="218"/>
      <c r="V160" s="218"/>
      <c r="W160" s="218"/>
      <c r="X160" s="218"/>
      <c r="Y160" s="218"/>
      <c r="Z160" s="218"/>
      <c r="AA160" s="218"/>
      <c r="AB160" s="4"/>
      <c r="AC160" s="4"/>
      <c r="AD160" s="4"/>
      <c r="AE160" s="4"/>
      <c r="AF160" s="4"/>
      <c r="AG160" s="4"/>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row>
    <row r="161" ht="14.25" customHeight="1">
      <c r="A161" s="132"/>
      <c r="B161" s="2"/>
      <c r="C161" s="2"/>
      <c r="D161" s="2"/>
      <c r="E161" s="2"/>
      <c r="F161" s="2"/>
      <c r="G161" s="2"/>
      <c r="H161" s="2"/>
      <c r="I161" s="2"/>
      <c r="J161" s="2"/>
      <c r="K161" s="2"/>
      <c r="L161" s="2"/>
      <c r="M161" s="2"/>
      <c r="N161" s="2"/>
      <c r="O161" s="2"/>
      <c r="P161" s="2"/>
      <c r="Q161" s="2"/>
      <c r="R161" s="2"/>
      <c r="S161" s="218"/>
      <c r="T161" s="218"/>
      <c r="U161" s="218"/>
      <c r="V161" s="218"/>
      <c r="W161" s="218"/>
      <c r="X161" s="218"/>
      <c r="Y161" s="218"/>
      <c r="Z161" s="218"/>
      <c r="AA161" s="218"/>
      <c r="AB161" s="4"/>
      <c r="AC161" s="4"/>
      <c r="AD161" s="4"/>
      <c r="AE161" s="4"/>
      <c r="AF161" s="4"/>
      <c r="AG161" s="4"/>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row>
    <row r="162" ht="14.25" customHeight="1">
      <c r="A162" s="132"/>
      <c r="B162" s="2"/>
      <c r="C162" s="2"/>
      <c r="D162" s="2"/>
      <c r="E162" s="2"/>
      <c r="F162" s="2"/>
      <c r="G162" s="2"/>
      <c r="H162" s="2"/>
      <c r="I162" s="2"/>
      <c r="J162" s="2"/>
      <c r="K162" s="2"/>
      <c r="L162" s="2"/>
      <c r="M162" s="2"/>
      <c r="N162" s="2"/>
      <c r="O162" s="2"/>
      <c r="P162" s="2"/>
      <c r="Q162" s="2"/>
      <c r="R162" s="2"/>
      <c r="S162" s="218"/>
      <c r="T162" s="218"/>
      <c r="U162" s="218"/>
      <c r="V162" s="218"/>
      <c r="W162" s="218"/>
      <c r="X162" s="218"/>
      <c r="Y162" s="218"/>
      <c r="Z162" s="218"/>
      <c r="AA162" s="218"/>
      <c r="AB162" s="4"/>
      <c r="AC162" s="4"/>
      <c r="AD162" s="4"/>
      <c r="AE162" s="4"/>
      <c r="AF162" s="4"/>
      <c r="AG162" s="4"/>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row>
    <row r="163" ht="14.25" customHeight="1">
      <c r="A163" s="132"/>
      <c r="B163" s="2"/>
      <c r="C163" s="2"/>
      <c r="D163" s="2"/>
      <c r="E163" s="2"/>
      <c r="F163" s="2"/>
      <c r="G163" s="2"/>
      <c r="H163" s="2"/>
      <c r="I163" s="2"/>
      <c r="J163" s="2"/>
      <c r="K163" s="2"/>
      <c r="L163" s="2"/>
      <c r="M163" s="2"/>
      <c r="N163" s="2"/>
      <c r="O163" s="2"/>
      <c r="P163" s="2"/>
      <c r="Q163" s="2"/>
      <c r="R163" s="2"/>
      <c r="S163" s="218"/>
      <c r="T163" s="218"/>
      <c r="U163" s="218"/>
      <c r="V163" s="218"/>
      <c r="W163" s="218"/>
      <c r="X163" s="218"/>
      <c r="Y163" s="218"/>
      <c r="Z163" s="218"/>
      <c r="AA163" s="218"/>
      <c r="AB163" s="4"/>
      <c r="AC163" s="4"/>
      <c r="AD163" s="4"/>
      <c r="AE163" s="4"/>
      <c r="AF163" s="4"/>
      <c r="AG163" s="4"/>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row>
    <row r="164" ht="14.25" customHeight="1">
      <c r="A164" s="132"/>
      <c r="B164" s="2"/>
      <c r="C164" s="2"/>
      <c r="D164" s="2"/>
      <c r="E164" s="2"/>
      <c r="F164" s="2"/>
      <c r="G164" s="2"/>
      <c r="H164" s="2"/>
      <c r="I164" s="2"/>
      <c r="J164" s="2"/>
      <c r="K164" s="2"/>
      <c r="L164" s="2"/>
      <c r="M164" s="2"/>
      <c r="N164" s="2"/>
      <c r="O164" s="2"/>
      <c r="P164" s="2"/>
      <c r="Q164" s="2"/>
      <c r="R164" s="2"/>
      <c r="S164" s="218"/>
      <c r="T164" s="218"/>
      <c r="U164" s="218"/>
      <c r="V164" s="218"/>
      <c r="W164" s="218"/>
      <c r="X164" s="218"/>
      <c r="Y164" s="218"/>
      <c r="Z164" s="218"/>
      <c r="AA164" s="218"/>
      <c r="AB164" s="4"/>
      <c r="AC164" s="4"/>
      <c r="AD164" s="4"/>
      <c r="AE164" s="4"/>
      <c r="AF164" s="4"/>
      <c r="AG164" s="4"/>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row>
    <row r="165" ht="14.25" customHeight="1">
      <c r="A165" s="132"/>
      <c r="B165" s="2"/>
      <c r="C165" s="2"/>
      <c r="D165" s="2"/>
      <c r="E165" s="2"/>
      <c r="F165" s="2"/>
      <c r="G165" s="2"/>
      <c r="H165" s="2"/>
      <c r="I165" s="2"/>
      <c r="J165" s="2"/>
      <c r="K165" s="2"/>
      <c r="L165" s="2"/>
      <c r="M165" s="2"/>
      <c r="N165" s="2"/>
      <c r="O165" s="2"/>
      <c r="P165" s="2"/>
      <c r="Q165" s="2"/>
      <c r="R165" s="2"/>
      <c r="S165" s="218"/>
      <c r="T165" s="218"/>
      <c r="U165" s="218"/>
      <c r="V165" s="218"/>
      <c r="W165" s="218"/>
      <c r="X165" s="218"/>
      <c r="Y165" s="218"/>
      <c r="Z165" s="218"/>
      <c r="AA165" s="218"/>
      <c r="AB165" s="4"/>
      <c r="AC165" s="4"/>
      <c r="AD165" s="4"/>
      <c r="AE165" s="4"/>
      <c r="AF165" s="4"/>
      <c r="AG165" s="4"/>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row>
    <row r="166" ht="14.25" customHeight="1">
      <c r="A166" s="132"/>
      <c r="B166" s="2"/>
      <c r="C166" s="2"/>
      <c r="D166" s="2"/>
      <c r="E166" s="2"/>
      <c r="F166" s="2"/>
      <c r="G166" s="2"/>
      <c r="H166" s="2"/>
      <c r="I166" s="2"/>
      <c r="J166" s="2"/>
      <c r="K166" s="2"/>
      <c r="L166" s="2"/>
      <c r="M166" s="2"/>
      <c r="N166" s="2"/>
      <c r="O166" s="2"/>
      <c r="P166" s="2"/>
      <c r="Q166" s="2"/>
      <c r="R166" s="2"/>
      <c r="S166" s="218"/>
      <c r="T166" s="218"/>
      <c r="U166" s="218"/>
      <c r="V166" s="218"/>
      <c r="W166" s="218"/>
      <c r="X166" s="218"/>
      <c r="Y166" s="218"/>
      <c r="Z166" s="218"/>
      <c r="AA166" s="218"/>
      <c r="AB166" s="4"/>
      <c r="AC166" s="4"/>
      <c r="AD166" s="4"/>
      <c r="AE166" s="4"/>
      <c r="AF166" s="4"/>
      <c r="AG166" s="4"/>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row>
    <row r="167" ht="14.25" customHeight="1">
      <c r="A167" s="132"/>
      <c r="B167" s="2"/>
      <c r="C167" s="2"/>
      <c r="D167" s="2"/>
      <c r="E167" s="2"/>
      <c r="F167" s="2"/>
      <c r="G167" s="2"/>
      <c r="H167" s="2"/>
      <c r="I167" s="2"/>
      <c r="J167" s="2"/>
      <c r="K167" s="2"/>
      <c r="L167" s="2"/>
      <c r="M167" s="2"/>
      <c r="N167" s="2"/>
      <c r="O167" s="2"/>
      <c r="P167" s="2"/>
      <c r="Q167" s="2"/>
      <c r="R167" s="2"/>
      <c r="S167" s="218"/>
      <c r="T167" s="218"/>
      <c r="U167" s="218"/>
      <c r="V167" s="218"/>
      <c r="W167" s="218"/>
      <c r="X167" s="218"/>
      <c r="Y167" s="218"/>
      <c r="Z167" s="218"/>
      <c r="AA167" s="218"/>
      <c r="AB167" s="4"/>
      <c r="AC167" s="4"/>
      <c r="AD167" s="4"/>
      <c r="AE167" s="4"/>
      <c r="AF167" s="4"/>
      <c r="AG167" s="4"/>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row>
    <row r="168" ht="14.25" customHeight="1">
      <c r="A168" s="132"/>
      <c r="B168" s="2"/>
      <c r="C168" s="2"/>
      <c r="D168" s="2"/>
      <c r="E168" s="2"/>
      <c r="F168" s="2"/>
      <c r="G168" s="2"/>
      <c r="H168" s="2"/>
      <c r="I168" s="2"/>
      <c r="J168" s="2"/>
      <c r="K168" s="2"/>
      <c r="L168" s="2"/>
      <c r="M168" s="2"/>
      <c r="N168" s="2"/>
      <c r="O168" s="2"/>
      <c r="P168" s="2"/>
      <c r="Q168" s="2"/>
      <c r="R168" s="2"/>
      <c r="S168" s="218"/>
      <c r="T168" s="218"/>
      <c r="U168" s="218"/>
      <c r="V168" s="218"/>
      <c r="W168" s="218"/>
      <c r="X168" s="218"/>
      <c r="Y168" s="218"/>
      <c r="Z168" s="218"/>
      <c r="AA168" s="218"/>
      <c r="AB168" s="4"/>
      <c r="AC168" s="4"/>
      <c r="AD168" s="4"/>
      <c r="AE168" s="4"/>
      <c r="AF168" s="4"/>
      <c r="AG168" s="4"/>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row>
    <row r="169" ht="14.25" customHeight="1">
      <c r="A169" s="132"/>
      <c r="B169" s="2"/>
      <c r="C169" s="2"/>
      <c r="D169" s="2"/>
      <c r="E169" s="2"/>
      <c r="F169" s="2"/>
      <c r="G169" s="2"/>
      <c r="H169" s="2"/>
      <c r="I169" s="2"/>
      <c r="J169" s="2"/>
      <c r="K169" s="2"/>
      <c r="L169" s="2"/>
      <c r="M169" s="2"/>
      <c r="N169" s="2"/>
      <c r="O169" s="2"/>
      <c r="P169" s="2"/>
      <c r="Q169" s="2"/>
      <c r="R169" s="2"/>
      <c r="S169" s="218"/>
      <c r="T169" s="218"/>
      <c r="U169" s="218"/>
      <c r="V169" s="218"/>
      <c r="W169" s="218"/>
      <c r="X169" s="218"/>
      <c r="Y169" s="218"/>
      <c r="Z169" s="218"/>
      <c r="AA169" s="218"/>
      <c r="AB169" s="4"/>
      <c r="AC169" s="4"/>
      <c r="AD169" s="4"/>
      <c r="AE169" s="4"/>
      <c r="AF169" s="4"/>
      <c r="AG169" s="4"/>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row>
    <row r="170" ht="14.25" customHeight="1">
      <c r="A170" s="132"/>
      <c r="B170" s="2"/>
      <c r="C170" s="2"/>
      <c r="D170" s="2"/>
      <c r="E170" s="2"/>
      <c r="F170" s="2"/>
      <c r="G170" s="2"/>
      <c r="H170" s="2"/>
      <c r="I170" s="2"/>
      <c r="J170" s="2"/>
      <c r="K170" s="2"/>
      <c r="L170" s="2"/>
      <c r="M170" s="2"/>
      <c r="N170" s="2"/>
      <c r="O170" s="2"/>
      <c r="P170" s="2"/>
      <c r="Q170" s="2"/>
      <c r="R170" s="2"/>
      <c r="S170" s="218"/>
      <c r="T170" s="218"/>
      <c r="U170" s="218"/>
      <c r="V170" s="218"/>
      <c r="W170" s="218"/>
      <c r="X170" s="218"/>
      <c r="Y170" s="218"/>
      <c r="Z170" s="218"/>
      <c r="AA170" s="218"/>
      <c r="AB170" s="4"/>
      <c r="AC170" s="4"/>
      <c r="AD170" s="4"/>
      <c r="AE170" s="4"/>
      <c r="AF170" s="4"/>
      <c r="AG170" s="4"/>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row>
    <row r="171" ht="14.25" customHeight="1">
      <c r="A171" s="132"/>
      <c r="B171" s="2"/>
      <c r="C171" s="2"/>
      <c r="D171" s="2"/>
      <c r="E171" s="2"/>
      <c r="F171" s="2"/>
      <c r="G171" s="2"/>
      <c r="H171" s="2"/>
      <c r="I171" s="2"/>
      <c r="J171" s="2"/>
      <c r="K171" s="2"/>
      <c r="L171" s="2"/>
      <c r="M171" s="2"/>
      <c r="N171" s="2"/>
      <c r="O171" s="2"/>
      <c r="P171" s="2"/>
      <c r="Q171" s="2"/>
      <c r="R171" s="2"/>
      <c r="S171" s="218"/>
      <c r="T171" s="218"/>
      <c r="U171" s="218"/>
      <c r="V171" s="218"/>
      <c r="W171" s="218"/>
      <c r="X171" s="218"/>
      <c r="Y171" s="218"/>
      <c r="Z171" s="218"/>
      <c r="AA171" s="218"/>
      <c r="AB171" s="4"/>
      <c r="AC171" s="4"/>
      <c r="AD171" s="4"/>
      <c r="AE171" s="4"/>
      <c r="AF171" s="4"/>
      <c r="AG171" s="4"/>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row>
    <row r="172" ht="14.25" customHeight="1">
      <c r="A172" s="132"/>
      <c r="B172" s="2"/>
      <c r="C172" s="2"/>
      <c r="D172" s="2"/>
      <c r="E172" s="2"/>
      <c r="F172" s="2"/>
      <c r="G172" s="2"/>
      <c r="H172" s="2"/>
      <c r="I172" s="2"/>
      <c r="J172" s="2"/>
      <c r="K172" s="2"/>
      <c r="L172" s="2"/>
      <c r="M172" s="2"/>
      <c r="N172" s="2"/>
      <c r="O172" s="2"/>
      <c r="P172" s="2"/>
      <c r="Q172" s="2"/>
      <c r="R172" s="2"/>
      <c r="S172" s="218"/>
      <c r="T172" s="218"/>
      <c r="U172" s="218"/>
      <c r="V172" s="218"/>
      <c r="W172" s="218"/>
      <c r="X172" s="218"/>
      <c r="Y172" s="218"/>
      <c r="Z172" s="218"/>
      <c r="AA172" s="218"/>
      <c r="AB172" s="4"/>
      <c r="AC172" s="4"/>
      <c r="AD172" s="4"/>
      <c r="AE172" s="4"/>
      <c r="AF172" s="4"/>
      <c r="AG172" s="4"/>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row>
    <row r="173" ht="14.25" customHeight="1">
      <c r="A173" s="132"/>
      <c r="B173" s="2"/>
      <c r="C173" s="2"/>
      <c r="D173" s="2"/>
      <c r="E173" s="2"/>
      <c r="F173" s="2"/>
      <c r="G173" s="2"/>
      <c r="H173" s="2"/>
      <c r="I173" s="2"/>
      <c r="J173" s="2"/>
      <c r="K173" s="2"/>
      <c r="L173" s="2"/>
      <c r="M173" s="2"/>
      <c r="N173" s="2"/>
      <c r="O173" s="2"/>
      <c r="P173" s="2"/>
      <c r="Q173" s="2"/>
      <c r="R173" s="2"/>
      <c r="S173" s="218"/>
      <c r="T173" s="218"/>
      <c r="U173" s="218"/>
      <c r="V173" s="218"/>
      <c r="W173" s="218"/>
      <c r="X173" s="218"/>
      <c r="Y173" s="218"/>
      <c r="Z173" s="218"/>
      <c r="AA173" s="218"/>
      <c r="AB173" s="4"/>
      <c r="AC173" s="4"/>
      <c r="AD173" s="4"/>
      <c r="AE173" s="4"/>
      <c r="AF173" s="4"/>
      <c r="AG173" s="4"/>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row>
    <row r="174" ht="14.25" customHeight="1">
      <c r="A174" s="132"/>
      <c r="B174" s="2"/>
      <c r="C174" s="2"/>
      <c r="D174" s="2"/>
      <c r="E174" s="2"/>
      <c r="F174" s="2"/>
      <c r="G174" s="2"/>
      <c r="H174" s="2"/>
      <c r="I174" s="2"/>
      <c r="J174" s="2"/>
      <c r="K174" s="2"/>
      <c r="L174" s="2"/>
      <c r="M174" s="2"/>
      <c r="N174" s="2"/>
      <c r="O174" s="2"/>
      <c r="P174" s="2"/>
      <c r="Q174" s="2"/>
      <c r="R174" s="2"/>
      <c r="S174" s="218"/>
      <c r="T174" s="218"/>
      <c r="U174" s="218"/>
      <c r="V174" s="218"/>
      <c r="W174" s="218"/>
      <c r="X174" s="218"/>
      <c r="Y174" s="218"/>
      <c r="Z174" s="218"/>
      <c r="AA174" s="218"/>
      <c r="AB174" s="4"/>
      <c r="AC174" s="4"/>
      <c r="AD174" s="4"/>
      <c r="AE174" s="4"/>
      <c r="AF174" s="4"/>
      <c r="AG174" s="4"/>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row>
    <row r="175" ht="14.25" customHeight="1">
      <c r="A175" s="132"/>
      <c r="B175" s="2"/>
      <c r="C175" s="2"/>
      <c r="D175" s="2"/>
      <c r="E175" s="2"/>
      <c r="F175" s="2"/>
      <c r="G175" s="2"/>
      <c r="H175" s="2"/>
      <c r="I175" s="2"/>
      <c r="J175" s="2"/>
      <c r="K175" s="2"/>
      <c r="L175" s="2"/>
      <c r="M175" s="2"/>
      <c r="N175" s="2"/>
      <c r="O175" s="2"/>
      <c r="P175" s="2"/>
      <c r="Q175" s="2"/>
      <c r="R175" s="2"/>
      <c r="S175" s="218"/>
      <c r="T175" s="218"/>
      <c r="U175" s="218"/>
      <c r="V175" s="218"/>
      <c r="W175" s="218"/>
      <c r="X175" s="218"/>
      <c r="Y175" s="218"/>
      <c r="Z175" s="218"/>
      <c r="AA175" s="218"/>
      <c r="AB175" s="4"/>
      <c r="AC175" s="4"/>
      <c r="AD175" s="4"/>
      <c r="AE175" s="4"/>
      <c r="AF175" s="4"/>
      <c r="AG175" s="4"/>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row>
    <row r="176" ht="14.25" customHeight="1">
      <c r="A176" s="132"/>
      <c r="B176" s="2"/>
      <c r="C176" s="2"/>
      <c r="D176" s="2"/>
      <c r="E176" s="2"/>
      <c r="F176" s="2"/>
      <c r="G176" s="2"/>
      <c r="H176" s="2"/>
      <c r="I176" s="2"/>
      <c r="J176" s="2"/>
      <c r="K176" s="2"/>
      <c r="L176" s="2"/>
      <c r="M176" s="2"/>
      <c r="N176" s="2"/>
      <c r="O176" s="2"/>
      <c r="P176" s="2"/>
      <c r="Q176" s="2"/>
      <c r="R176" s="2"/>
      <c r="S176" s="218"/>
      <c r="T176" s="218"/>
      <c r="U176" s="218"/>
      <c r="V176" s="218"/>
      <c r="W176" s="218"/>
      <c r="X176" s="218"/>
      <c r="Y176" s="218"/>
      <c r="Z176" s="218"/>
      <c r="AA176" s="218"/>
      <c r="AB176" s="4"/>
      <c r="AC176" s="4"/>
      <c r="AD176" s="4"/>
      <c r="AE176" s="4"/>
      <c r="AF176" s="4"/>
      <c r="AG176" s="4"/>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row>
    <row r="177" ht="14.25" customHeight="1">
      <c r="A177" s="132"/>
      <c r="B177" s="2"/>
      <c r="C177" s="2"/>
      <c r="D177" s="2"/>
      <c r="E177" s="2"/>
      <c r="F177" s="2"/>
      <c r="G177" s="2"/>
      <c r="H177" s="2"/>
      <c r="I177" s="2"/>
      <c r="J177" s="2"/>
      <c r="K177" s="2"/>
      <c r="L177" s="2"/>
      <c r="M177" s="2"/>
      <c r="N177" s="2"/>
      <c r="O177" s="2"/>
      <c r="P177" s="2"/>
      <c r="Q177" s="2"/>
      <c r="R177" s="2"/>
      <c r="S177" s="218"/>
      <c r="T177" s="218"/>
      <c r="U177" s="218"/>
      <c r="V177" s="218"/>
      <c r="W177" s="218"/>
      <c r="X177" s="218"/>
      <c r="Y177" s="218"/>
      <c r="Z177" s="218"/>
      <c r="AA177" s="218"/>
      <c r="AB177" s="4"/>
      <c r="AC177" s="4"/>
      <c r="AD177" s="4"/>
      <c r="AE177" s="4"/>
      <c r="AF177" s="4"/>
      <c r="AG177" s="4"/>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row>
    <row r="178" ht="14.25" customHeight="1">
      <c r="A178" s="132"/>
      <c r="B178" s="2"/>
      <c r="C178" s="2"/>
      <c r="D178" s="2"/>
      <c r="E178" s="2"/>
      <c r="F178" s="2"/>
      <c r="G178" s="2"/>
      <c r="H178" s="2"/>
      <c r="I178" s="2"/>
      <c r="J178" s="2"/>
      <c r="K178" s="2"/>
      <c r="L178" s="2"/>
      <c r="M178" s="2"/>
      <c r="N178" s="2"/>
      <c r="O178" s="2"/>
      <c r="P178" s="2"/>
      <c r="Q178" s="2"/>
      <c r="R178" s="2"/>
      <c r="S178" s="218"/>
      <c r="T178" s="218"/>
      <c r="U178" s="218"/>
      <c r="V178" s="218"/>
      <c r="W178" s="218"/>
      <c r="X178" s="218"/>
      <c r="Y178" s="218"/>
      <c r="Z178" s="218"/>
      <c r="AA178" s="218"/>
      <c r="AB178" s="4"/>
      <c r="AC178" s="4"/>
      <c r="AD178" s="4"/>
      <c r="AE178" s="4"/>
      <c r="AF178" s="4"/>
      <c r="AG178" s="4"/>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row>
    <row r="179" ht="14.25" customHeight="1">
      <c r="A179" s="132"/>
      <c r="B179" s="2"/>
      <c r="C179" s="2"/>
      <c r="D179" s="2"/>
      <c r="E179" s="2"/>
      <c r="F179" s="2"/>
      <c r="G179" s="2"/>
      <c r="H179" s="2"/>
      <c r="I179" s="2"/>
      <c r="J179" s="2"/>
      <c r="K179" s="2"/>
      <c r="L179" s="2"/>
      <c r="M179" s="2"/>
      <c r="N179" s="2"/>
      <c r="O179" s="2"/>
      <c r="P179" s="2"/>
      <c r="Q179" s="2"/>
      <c r="R179" s="2"/>
      <c r="S179" s="218"/>
      <c r="T179" s="218"/>
      <c r="U179" s="218"/>
      <c r="V179" s="218"/>
      <c r="W179" s="218"/>
      <c r="X179" s="218"/>
      <c r="Y179" s="218"/>
      <c r="Z179" s="218"/>
      <c r="AA179" s="218"/>
      <c r="AB179" s="4"/>
      <c r="AC179" s="4"/>
      <c r="AD179" s="4"/>
      <c r="AE179" s="4"/>
      <c r="AF179" s="4"/>
      <c r="AG179" s="4"/>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row>
    <row r="180" ht="14.25" customHeight="1">
      <c r="A180" s="132"/>
      <c r="B180" s="2"/>
      <c r="C180" s="2"/>
      <c r="D180" s="2"/>
      <c r="E180" s="2"/>
      <c r="F180" s="2"/>
      <c r="G180" s="2"/>
      <c r="H180" s="2"/>
      <c r="I180" s="2"/>
      <c r="J180" s="2"/>
      <c r="K180" s="2"/>
      <c r="L180" s="2"/>
      <c r="M180" s="2"/>
      <c r="N180" s="2"/>
      <c r="O180" s="2"/>
      <c r="P180" s="2"/>
      <c r="Q180" s="2"/>
      <c r="R180" s="2"/>
      <c r="S180" s="218"/>
      <c r="T180" s="218"/>
      <c r="U180" s="218"/>
      <c r="V180" s="218"/>
      <c r="W180" s="218"/>
      <c r="X180" s="218"/>
      <c r="Y180" s="218"/>
      <c r="Z180" s="218"/>
      <c r="AA180" s="218"/>
      <c r="AB180" s="4"/>
      <c r="AC180" s="4"/>
      <c r="AD180" s="4"/>
      <c r="AE180" s="4"/>
      <c r="AF180" s="4"/>
      <c r="AG180" s="4"/>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row>
    <row r="181" ht="14.25" customHeight="1">
      <c r="A181" s="132"/>
      <c r="B181" s="2"/>
      <c r="C181" s="2"/>
      <c r="D181" s="2"/>
      <c r="E181" s="2"/>
      <c r="F181" s="2"/>
      <c r="G181" s="2"/>
      <c r="H181" s="2"/>
      <c r="I181" s="2"/>
      <c r="J181" s="2"/>
      <c r="K181" s="2"/>
      <c r="L181" s="2"/>
      <c r="M181" s="2"/>
      <c r="N181" s="2"/>
      <c r="O181" s="2"/>
      <c r="P181" s="2"/>
      <c r="Q181" s="2"/>
      <c r="R181" s="2"/>
      <c r="S181" s="218"/>
      <c r="T181" s="218"/>
      <c r="U181" s="218"/>
      <c r="V181" s="218"/>
      <c r="W181" s="218"/>
      <c r="X181" s="218"/>
      <c r="Y181" s="218"/>
      <c r="Z181" s="218"/>
      <c r="AA181" s="218"/>
      <c r="AB181" s="4"/>
      <c r="AC181" s="4"/>
      <c r="AD181" s="4"/>
      <c r="AE181" s="4"/>
      <c r="AF181" s="4"/>
      <c r="AG181" s="4"/>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row>
    <row r="182" ht="14.25" customHeight="1">
      <c r="A182" s="132"/>
      <c r="B182" s="2"/>
      <c r="C182" s="2"/>
      <c r="D182" s="2"/>
      <c r="E182" s="2"/>
      <c r="F182" s="2"/>
      <c r="G182" s="2"/>
      <c r="H182" s="2"/>
      <c r="I182" s="2"/>
      <c r="J182" s="2"/>
      <c r="K182" s="2"/>
      <c r="L182" s="2"/>
      <c r="M182" s="2"/>
      <c r="N182" s="2"/>
      <c r="O182" s="2"/>
      <c r="P182" s="2"/>
      <c r="Q182" s="2"/>
      <c r="R182" s="2"/>
      <c r="S182" s="218"/>
      <c r="T182" s="218"/>
      <c r="U182" s="218"/>
      <c r="V182" s="218"/>
      <c r="W182" s="218"/>
      <c r="X182" s="218"/>
      <c r="Y182" s="218"/>
      <c r="Z182" s="218"/>
      <c r="AA182" s="218"/>
      <c r="AB182" s="4"/>
      <c r="AC182" s="4"/>
      <c r="AD182" s="4"/>
      <c r="AE182" s="4"/>
      <c r="AF182" s="4"/>
      <c r="AG182" s="4"/>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row>
    <row r="183" ht="14.25" customHeight="1">
      <c r="A183" s="132"/>
      <c r="B183" s="2"/>
      <c r="C183" s="2"/>
      <c r="D183" s="2"/>
      <c r="E183" s="2"/>
      <c r="F183" s="2"/>
      <c r="G183" s="2"/>
      <c r="H183" s="2"/>
      <c r="I183" s="2"/>
      <c r="J183" s="2"/>
      <c r="K183" s="2"/>
      <c r="L183" s="2"/>
      <c r="M183" s="2"/>
      <c r="N183" s="2"/>
      <c r="O183" s="2"/>
      <c r="P183" s="2"/>
      <c r="Q183" s="2"/>
      <c r="R183" s="2"/>
      <c r="S183" s="218"/>
      <c r="T183" s="218"/>
      <c r="U183" s="218"/>
      <c r="V183" s="218"/>
      <c r="W183" s="218"/>
      <c r="X183" s="218"/>
      <c r="Y183" s="218"/>
      <c r="Z183" s="218"/>
      <c r="AA183" s="218"/>
      <c r="AB183" s="4"/>
      <c r="AC183" s="4"/>
      <c r="AD183" s="4"/>
      <c r="AE183" s="4"/>
      <c r="AF183" s="4"/>
      <c r="AG183" s="4"/>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row>
    <row r="184" ht="14.25" customHeight="1">
      <c r="A184" s="132"/>
      <c r="B184" s="2"/>
      <c r="C184" s="2"/>
      <c r="D184" s="2"/>
      <c r="E184" s="2"/>
      <c r="F184" s="2"/>
      <c r="G184" s="2"/>
      <c r="H184" s="2"/>
      <c r="I184" s="2"/>
      <c r="J184" s="2"/>
      <c r="K184" s="2"/>
      <c r="L184" s="2"/>
      <c r="M184" s="2"/>
      <c r="N184" s="2"/>
      <c r="O184" s="2"/>
      <c r="P184" s="2"/>
      <c r="Q184" s="2"/>
      <c r="R184" s="2"/>
      <c r="S184" s="218"/>
      <c r="T184" s="218"/>
      <c r="U184" s="218"/>
      <c r="V184" s="218"/>
      <c r="W184" s="218"/>
      <c r="X184" s="218"/>
      <c r="Y184" s="218"/>
      <c r="Z184" s="218"/>
      <c r="AA184" s="218"/>
      <c r="AB184" s="4"/>
      <c r="AC184" s="4"/>
      <c r="AD184" s="4"/>
      <c r="AE184" s="4"/>
      <c r="AF184" s="4"/>
      <c r="AG184" s="4"/>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row>
    <row r="185" ht="14.25" customHeight="1">
      <c r="A185" s="132"/>
      <c r="B185" s="2"/>
      <c r="C185" s="2"/>
      <c r="D185" s="2"/>
      <c r="E185" s="2"/>
      <c r="F185" s="2"/>
      <c r="G185" s="2"/>
      <c r="H185" s="2"/>
      <c r="I185" s="2"/>
      <c r="J185" s="2"/>
      <c r="K185" s="2"/>
      <c r="L185" s="2"/>
      <c r="M185" s="2"/>
      <c r="N185" s="2"/>
      <c r="O185" s="2"/>
      <c r="P185" s="2"/>
      <c r="Q185" s="2"/>
      <c r="R185" s="2"/>
      <c r="S185" s="218"/>
      <c r="T185" s="218"/>
      <c r="U185" s="218"/>
      <c r="V185" s="218"/>
      <c r="W185" s="218"/>
      <c r="X185" s="218"/>
      <c r="Y185" s="218"/>
      <c r="Z185" s="218"/>
      <c r="AA185" s="218"/>
      <c r="AB185" s="4"/>
      <c r="AC185" s="4"/>
      <c r="AD185" s="4"/>
      <c r="AE185" s="4"/>
      <c r="AF185" s="4"/>
      <c r="AG185" s="4"/>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row>
    <row r="186" ht="14.25" customHeight="1">
      <c r="A186" s="132"/>
      <c r="B186" s="2"/>
      <c r="C186" s="2"/>
      <c r="D186" s="2"/>
      <c r="E186" s="2"/>
      <c r="F186" s="2"/>
      <c r="G186" s="2"/>
      <c r="H186" s="2"/>
      <c r="I186" s="2"/>
      <c r="J186" s="2"/>
      <c r="K186" s="2"/>
      <c r="L186" s="2"/>
      <c r="M186" s="2"/>
      <c r="N186" s="2"/>
      <c r="O186" s="2"/>
      <c r="P186" s="2"/>
      <c r="Q186" s="2"/>
      <c r="R186" s="2"/>
      <c r="S186" s="218"/>
      <c r="T186" s="218"/>
      <c r="U186" s="218"/>
      <c r="V186" s="218"/>
      <c r="W186" s="218"/>
      <c r="X186" s="218"/>
      <c r="Y186" s="218"/>
      <c r="Z186" s="218"/>
      <c r="AA186" s="218"/>
      <c r="AB186" s="4"/>
      <c r="AC186" s="4"/>
      <c r="AD186" s="4"/>
      <c r="AE186" s="4"/>
      <c r="AF186" s="4"/>
      <c r="AG186" s="4"/>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row>
    <row r="187" ht="14.25" customHeight="1">
      <c r="A187" s="132"/>
      <c r="B187" s="2"/>
      <c r="C187" s="2"/>
      <c r="D187" s="2"/>
      <c r="E187" s="2"/>
      <c r="F187" s="2"/>
      <c r="G187" s="2"/>
      <c r="H187" s="2"/>
      <c r="I187" s="2"/>
      <c r="J187" s="2"/>
      <c r="K187" s="2"/>
      <c r="L187" s="2"/>
      <c r="M187" s="2"/>
      <c r="N187" s="2"/>
      <c r="O187" s="2"/>
      <c r="P187" s="2"/>
      <c r="Q187" s="2"/>
      <c r="R187" s="2"/>
      <c r="S187" s="218"/>
      <c r="T187" s="218"/>
      <c r="U187" s="218"/>
      <c r="V187" s="218"/>
      <c r="W187" s="218"/>
      <c r="X187" s="218"/>
      <c r="Y187" s="218"/>
      <c r="Z187" s="218"/>
      <c r="AA187" s="218"/>
      <c r="AB187" s="4"/>
      <c r="AC187" s="4"/>
      <c r="AD187" s="4"/>
      <c r="AE187" s="4"/>
      <c r="AF187" s="4"/>
      <c r="AG187" s="4"/>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row>
    <row r="188" ht="14.25" customHeight="1">
      <c r="A188" s="132"/>
      <c r="B188" s="2"/>
      <c r="C188" s="2"/>
      <c r="D188" s="2"/>
      <c r="E188" s="2"/>
      <c r="F188" s="2"/>
      <c r="G188" s="2"/>
      <c r="H188" s="2"/>
      <c r="I188" s="2"/>
      <c r="J188" s="2"/>
      <c r="K188" s="2"/>
      <c r="L188" s="2"/>
      <c r="M188" s="2"/>
      <c r="N188" s="2"/>
      <c r="O188" s="2"/>
      <c r="P188" s="2"/>
      <c r="Q188" s="2"/>
      <c r="R188" s="2"/>
      <c r="S188" s="218"/>
      <c r="T188" s="218"/>
      <c r="U188" s="218"/>
      <c r="V188" s="218"/>
      <c r="W188" s="218"/>
      <c r="X188" s="218"/>
      <c r="Y188" s="218"/>
      <c r="Z188" s="218"/>
      <c r="AA188" s="218"/>
      <c r="AB188" s="4"/>
      <c r="AC188" s="4"/>
      <c r="AD188" s="4"/>
      <c r="AE188" s="4"/>
      <c r="AF188" s="4"/>
      <c r="AG188" s="4"/>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row>
    <row r="189" ht="14.25" customHeight="1">
      <c r="A189" s="132"/>
      <c r="B189" s="2"/>
      <c r="C189" s="2"/>
      <c r="D189" s="2"/>
      <c r="E189" s="2"/>
      <c r="F189" s="2"/>
      <c r="G189" s="2"/>
      <c r="H189" s="2"/>
      <c r="I189" s="2"/>
      <c r="J189" s="2"/>
      <c r="K189" s="2"/>
      <c r="L189" s="2"/>
      <c r="M189" s="2"/>
      <c r="N189" s="2"/>
      <c r="O189" s="2"/>
      <c r="P189" s="2"/>
      <c r="Q189" s="2"/>
      <c r="R189" s="2"/>
      <c r="S189" s="218"/>
      <c r="T189" s="218"/>
      <c r="U189" s="218"/>
      <c r="V189" s="218"/>
      <c r="W189" s="218"/>
      <c r="X189" s="218"/>
      <c r="Y189" s="218"/>
      <c r="Z189" s="218"/>
      <c r="AA189" s="218"/>
      <c r="AB189" s="4"/>
      <c r="AC189" s="4"/>
      <c r="AD189" s="4"/>
      <c r="AE189" s="4"/>
      <c r="AF189" s="4"/>
      <c r="AG189" s="4"/>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row>
    <row r="190" ht="14.25" customHeight="1">
      <c r="A190" s="132"/>
      <c r="B190" s="2"/>
      <c r="C190" s="2"/>
      <c r="D190" s="2"/>
      <c r="E190" s="2"/>
      <c r="F190" s="2"/>
      <c r="G190" s="2"/>
      <c r="H190" s="2"/>
      <c r="I190" s="2"/>
      <c r="J190" s="2"/>
      <c r="K190" s="2"/>
      <c r="L190" s="2"/>
      <c r="M190" s="2"/>
      <c r="N190" s="2"/>
      <c r="O190" s="2"/>
      <c r="P190" s="2"/>
      <c r="Q190" s="2"/>
      <c r="R190" s="2"/>
      <c r="S190" s="218"/>
      <c r="T190" s="218"/>
      <c r="U190" s="218"/>
      <c r="V190" s="218"/>
      <c r="W190" s="218"/>
      <c r="X190" s="218"/>
      <c r="Y190" s="218"/>
      <c r="Z190" s="218"/>
      <c r="AA190" s="218"/>
      <c r="AB190" s="4"/>
      <c r="AC190" s="4"/>
      <c r="AD190" s="4"/>
      <c r="AE190" s="4"/>
      <c r="AF190" s="4"/>
      <c r="AG190" s="4"/>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row>
    <row r="191" ht="14.25" customHeight="1">
      <c r="A191" s="132"/>
      <c r="B191" s="2"/>
      <c r="C191" s="2"/>
      <c r="D191" s="2"/>
      <c r="E191" s="2"/>
      <c r="F191" s="2"/>
      <c r="G191" s="2"/>
      <c r="H191" s="2"/>
      <c r="I191" s="2"/>
      <c r="J191" s="2"/>
      <c r="K191" s="2"/>
      <c r="L191" s="2"/>
      <c r="M191" s="2"/>
      <c r="N191" s="2"/>
      <c r="O191" s="2"/>
      <c r="P191" s="2"/>
      <c r="Q191" s="2"/>
      <c r="R191" s="2"/>
      <c r="S191" s="218"/>
      <c r="T191" s="218"/>
      <c r="U191" s="218"/>
      <c r="V191" s="218"/>
      <c r="W191" s="218"/>
      <c r="X191" s="218"/>
      <c r="Y191" s="218"/>
      <c r="Z191" s="218"/>
      <c r="AA191" s="218"/>
      <c r="AB191" s="4"/>
      <c r="AC191" s="4"/>
      <c r="AD191" s="4"/>
      <c r="AE191" s="4"/>
      <c r="AF191" s="4"/>
      <c r="AG191" s="4"/>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row>
    <row r="192" ht="14.25" customHeight="1">
      <c r="A192" s="132"/>
      <c r="B192" s="2"/>
      <c r="C192" s="2"/>
      <c r="D192" s="2"/>
      <c r="E192" s="2"/>
      <c r="F192" s="2"/>
      <c r="G192" s="2"/>
      <c r="H192" s="2"/>
      <c r="I192" s="2"/>
      <c r="J192" s="2"/>
      <c r="K192" s="2"/>
      <c r="L192" s="2"/>
      <c r="M192" s="2"/>
      <c r="N192" s="2"/>
      <c r="O192" s="2"/>
      <c r="P192" s="2"/>
      <c r="Q192" s="2"/>
      <c r="R192" s="2"/>
      <c r="S192" s="218"/>
      <c r="T192" s="218"/>
      <c r="U192" s="218"/>
      <c r="V192" s="218"/>
      <c r="W192" s="218"/>
      <c r="X192" s="218"/>
      <c r="Y192" s="218"/>
      <c r="Z192" s="218"/>
      <c r="AA192" s="218"/>
      <c r="AB192" s="4"/>
      <c r="AC192" s="4"/>
      <c r="AD192" s="4"/>
      <c r="AE192" s="4"/>
      <c r="AF192" s="4"/>
      <c r="AG192" s="4"/>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row>
    <row r="193" ht="14.25" customHeight="1">
      <c r="A193" s="132"/>
      <c r="B193" s="2"/>
      <c r="C193" s="2"/>
      <c r="D193" s="2"/>
      <c r="E193" s="2"/>
      <c r="F193" s="2"/>
      <c r="G193" s="2"/>
      <c r="H193" s="2"/>
      <c r="I193" s="2"/>
      <c r="J193" s="2"/>
      <c r="K193" s="2"/>
      <c r="L193" s="2"/>
      <c r="M193" s="2"/>
      <c r="N193" s="2"/>
      <c r="O193" s="2"/>
      <c r="P193" s="2"/>
      <c r="Q193" s="2"/>
      <c r="R193" s="2"/>
      <c r="S193" s="218"/>
      <c r="T193" s="218"/>
      <c r="U193" s="218"/>
      <c r="V193" s="218"/>
      <c r="W193" s="218"/>
      <c r="X193" s="218"/>
      <c r="Y193" s="218"/>
      <c r="Z193" s="218"/>
      <c r="AA193" s="218"/>
      <c r="AB193" s="4"/>
      <c r="AC193" s="4"/>
      <c r="AD193" s="4"/>
      <c r="AE193" s="4"/>
      <c r="AF193" s="4"/>
      <c r="AG193" s="4"/>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row>
    <row r="194" ht="14.25" customHeight="1">
      <c r="A194" s="132"/>
      <c r="B194" s="2"/>
      <c r="C194" s="2"/>
      <c r="D194" s="2"/>
      <c r="E194" s="2"/>
      <c r="F194" s="2"/>
      <c r="G194" s="2"/>
      <c r="H194" s="2"/>
      <c r="I194" s="2"/>
      <c r="J194" s="2"/>
      <c r="K194" s="2"/>
      <c r="L194" s="2"/>
      <c r="M194" s="2"/>
      <c r="N194" s="2"/>
      <c r="O194" s="2"/>
      <c r="P194" s="2"/>
      <c r="Q194" s="2"/>
      <c r="R194" s="2"/>
      <c r="S194" s="218"/>
      <c r="T194" s="218"/>
      <c r="U194" s="218"/>
      <c r="V194" s="218"/>
      <c r="W194" s="218"/>
      <c r="X194" s="218"/>
      <c r="Y194" s="218"/>
      <c r="Z194" s="218"/>
      <c r="AA194" s="218"/>
      <c r="AB194" s="4"/>
      <c r="AC194" s="4"/>
      <c r="AD194" s="4"/>
      <c r="AE194" s="4"/>
      <c r="AF194" s="4"/>
      <c r="AG194" s="4"/>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row>
    <row r="195" ht="14.25" customHeight="1">
      <c r="A195" s="132"/>
      <c r="B195" s="2"/>
      <c r="C195" s="2"/>
      <c r="D195" s="2"/>
      <c r="E195" s="2"/>
      <c r="F195" s="2"/>
      <c r="G195" s="2"/>
      <c r="H195" s="2"/>
      <c r="I195" s="2"/>
      <c r="J195" s="2"/>
      <c r="K195" s="2"/>
      <c r="L195" s="2"/>
      <c r="M195" s="2"/>
      <c r="N195" s="2"/>
      <c r="O195" s="2"/>
      <c r="P195" s="2"/>
      <c r="Q195" s="2"/>
      <c r="R195" s="2"/>
      <c r="S195" s="218"/>
      <c r="T195" s="218"/>
      <c r="U195" s="218"/>
      <c r="V195" s="218"/>
      <c r="W195" s="218"/>
      <c r="X195" s="218"/>
      <c r="Y195" s="218"/>
      <c r="Z195" s="218"/>
      <c r="AA195" s="218"/>
      <c r="AB195" s="4"/>
      <c r="AC195" s="4"/>
      <c r="AD195" s="4"/>
      <c r="AE195" s="4"/>
      <c r="AF195" s="4"/>
      <c r="AG195" s="4"/>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row>
    <row r="196" ht="14.25" customHeight="1">
      <c r="A196" s="132"/>
      <c r="B196" s="2"/>
      <c r="C196" s="2"/>
      <c r="D196" s="2"/>
      <c r="E196" s="2"/>
      <c r="F196" s="2"/>
      <c r="G196" s="2"/>
      <c r="H196" s="2"/>
      <c r="I196" s="2"/>
      <c r="J196" s="2"/>
      <c r="K196" s="2"/>
      <c r="L196" s="2"/>
      <c r="M196" s="2"/>
      <c r="N196" s="2"/>
      <c r="O196" s="2"/>
      <c r="P196" s="2"/>
      <c r="Q196" s="2"/>
      <c r="R196" s="2"/>
      <c r="S196" s="218"/>
      <c r="T196" s="218"/>
      <c r="U196" s="218"/>
      <c r="V196" s="218"/>
      <c r="W196" s="218"/>
      <c r="X196" s="218"/>
      <c r="Y196" s="218"/>
      <c r="Z196" s="218"/>
      <c r="AA196" s="218"/>
      <c r="AB196" s="4"/>
      <c r="AC196" s="4"/>
      <c r="AD196" s="4"/>
      <c r="AE196" s="4"/>
      <c r="AF196" s="4"/>
      <c r="AG196" s="4"/>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row>
    <row r="197" ht="14.25" customHeight="1">
      <c r="A197" s="132"/>
      <c r="B197" s="2"/>
      <c r="C197" s="2"/>
      <c r="D197" s="2"/>
      <c r="E197" s="2"/>
      <c r="F197" s="2"/>
      <c r="G197" s="2"/>
      <c r="H197" s="2"/>
      <c r="I197" s="2"/>
      <c r="J197" s="2"/>
      <c r="K197" s="2"/>
      <c r="L197" s="2"/>
      <c r="M197" s="2"/>
      <c r="N197" s="2"/>
      <c r="O197" s="2"/>
      <c r="P197" s="2"/>
      <c r="Q197" s="2"/>
      <c r="R197" s="2"/>
      <c r="S197" s="218"/>
      <c r="T197" s="218"/>
      <c r="U197" s="218"/>
      <c r="V197" s="218"/>
      <c r="W197" s="218"/>
      <c r="X197" s="218"/>
      <c r="Y197" s="218"/>
      <c r="Z197" s="218"/>
      <c r="AA197" s="218"/>
      <c r="AB197" s="4"/>
      <c r="AC197" s="4"/>
      <c r="AD197" s="4"/>
      <c r="AE197" s="4"/>
      <c r="AF197" s="4"/>
      <c r="AG197" s="4"/>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row>
    <row r="198" ht="14.25" customHeight="1">
      <c r="A198" s="132"/>
      <c r="B198" s="2"/>
      <c r="C198" s="2"/>
      <c r="D198" s="2"/>
      <c r="E198" s="2"/>
      <c r="F198" s="2"/>
      <c r="G198" s="2"/>
      <c r="H198" s="2"/>
      <c r="I198" s="2"/>
      <c r="J198" s="2"/>
      <c r="K198" s="2"/>
      <c r="L198" s="2"/>
      <c r="M198" s="2"/>
      <c r="N198" s="2"/>
      <c r="O198" s="2"/>
      <c r="P198" s="2"/>
      <c r="Q198" s="2"/>
      <c r="R198" s="2"/>
      <c r="S198" s="218"/>
      <c r="T198" s="218"/>
      <c r="U198" s="218"/>
      <c r="V198" s="218"/>
      <c r="W198" s="218"/>
      <c r="X198" s="218"/>
      <c r="Y198" s="218"/>
      <c r="Z198" s="218"/>
      <c r="AA198" s="218"/>
      <c r="AB198" s="4"/>
      <c r="AC198" s="4"/>
      <c r="AD198" s="4"/>
      <c r="AE198" s="4"/>
      <c r="AF198" s="4"/>
      <c r="AG198" s="4"/>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row>
    <row r="199" ht="14.25" customHeight="1">
      <c r="A199" s="132"/>
      <c r="B199" s="2"/>
      <c r="C199" s="2"/>
      <c r="D199" s="2"/>
      <c r="E199" s="2"/>
      <c r="F199" s="2"/>
      <c r="G199" s="2"/>
      <c r="H199" s="2"/>
      <c r="I199" s="2"/>
      <c r="J199" s="2"/>
      <c r="K199" s="2"/>
      <c r="L199" s="2"/>
      <c r="M199" s="2"/>
      <c r="N199" s="2"/>
      <c r="O199" s="2"/>
      <c r="P199" s="2"/>
      <c r="Q199" s="2"/>
      <c r="R199" s="2"/>
      <c r="S199" s="218"/>
      <c r="T199" s="218"/>
      <c r="U199" s="218"/>
      <c r="V199" s="218"/>
      <c r="W199" s="218"/>
      <c r="X199" s="218"/>
      <c r="Y199" s="218"/>
      <c r="Z199" s="218"/>
      <c r="AA199" s="218"/>
      <c r="AB199" s="4"/>
      <c r="AC199" s="4"/>
      <c r="AD199" s="4"/>
      <c r="AE199" s="4"/>
      <c r="AF199" s="4"/>
      <c r="AG199" s="4"/>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row>
    <row r="200" ht="14.25" customHeight="1">
      <c r="A200" s="132"/>
      <c r="B200" s="2"/>
      <c r="C200" s="2"/>
      <c r="D200" s="2"/>
      <c r="E200" s="2"/>
      <c r="F200" s="2"/>
      <c r="G200" s="2"/>
      <c r="H200" s="2"/>
      <c r="I200" s="2"/>
      <c r="J200" s="2"/>
      <c r="K200" s="2"/>
      <c r="L200" s="2"/>
      <c r="M200" s="2"/>
      <c r="N200" s="2"/>
      <c r="O200" s="2"/>
      <c r="P200" s="2"/>
      <c r="Q200" s="2"/>
      <c r="R200" s="2"/>
      <c r="S200" s="218"/>
      <c r="T200" s="218"/>
      <c r="U200" s="218"/>
      <c r="V200" s="218"/>
      <c r="W200" s="218"/>
      <c r="X200" s="218"/>
      <c r="Y200" s="218"/>
      <c r="Z200" s="218"/>
      <c r="AA200" s="218"/>
      <c r="AB200" s="4"/>
      <c r="AC200" s="4"/>
      <c r="AD200" s="4"/>
      <c r="AE200" s="4"/>
      <c r="AF200" s="4"/>
      <c r="AG200" s="4"/>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row>
    <row r="201" ht="14.25" customHeight="1">
      <c r="A201" s="132"/>
      <c r="B201" s="2"/>
      <c r="C201" s="2"/>
      <c r="D201" s="2"/>
      <c r="E201" s="2"/>
      <c r="F201" s="2"/>
      <c r="G201" s="2"/>
      <c r="H201" s="2"/>
      <c r="I201" s="2"/>
      <c r="J201" s="2"/>
      <c r="K201" s="2"/>
      <c r="L201" s="2"/>
      <c r="M201" s="2"/>
      <c r="N201" s="2"/>
      <c r="O201" s="2"/>
      <c r="P201" s="2"/>
      <c r="Q201" s="2"/>
      <c r="R201" s="2"/>
      <c r="S201" s="218"/>
      <c r="T201" s="218"/>
      <c r="U201" s="218"/>
      <c r="V201" s="218"/>
      <c r="W201" s="218"/>
      <c r="X201" s="218"/>
      <c r="Y201" s="218"/>
      <c r="Z201" s="218"/>
      <c r="AA201" s="218"/>
      <c r="AB201" s="4"/>
      <c r="AC201" s="4"/>
      <c r="AD201" s="4"/>
      <c r="AE201" s="4"/>
      <c r="AF201" s="4"/>
      <c r="AG201" s="4"/>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row>
    <row r="202" ht="14.25" customHeight="1">
      <c r="A202" s="132"/>
      <c r="B202" s="2"/>
      <c r="C202" s="2"/>
      <c r="D202" s="2"/>
      <c r="E202" s="2"/>
      <c r="F202" s="2"/>
      <c r="G202" s="2"/>
      <c r="H202" s="2"/>
      <c r="I202" s="2"/>
      <c r="J202" s="2"/>
      <c r="K202" s="2"/>
      <c r="L202" s="2"/>
      <c r="M202" s="2"/>
      <c r="N202" s="2"/>
      <c r="O202" s="2"/>
      <c r="P202" s="2"/>
      <c r="Q202" s="2"/>
      <c r="R202" s="2"/>
      <c r="S202" s="218"/>
      <c r="T202" s="218"/>
      <c r="U202" s="218"/>
      <c r="V202" s="218"/>
      <c r="W202" s="218"/>
      <c r="X202" s="218"/>
      <c r="Y202" s="218"/>
      <c r="Z202" s="218"/>
      <c r="AA202" s="218"/>
      <c r="AB202" s="4"/>
      <c r="AC202" s="4"/>
      <c r="AD202" s="4"/>
      <c r="AE202" s="4"/>
      <c r="AF202" s="4"/>
      <c r="AG202" s="4"/>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row>
    <row r="203" ht="14.25" customHeight="1">
      <c r="A203" s="132"/>
      <c r="B203" s="2"/>
      <c r="C203" s="2"/>
      <c r="D203" s="2"/>
      <c r="E203" s="2"/>
      <c r="F203" s="2"/>
      <c r="G203" s="2"/>
      <c r="H203" s="2"/>
      <c r="I203" s="2"/>
      <c r="J203" s="2"/>
      <c r="K203" s="2"/>
      <c r="L203" s="2"/>
      <c r="M203" s="2"/>
      <c r="N203" s="2"/>
      <c r="O203" s="2"/>
      <c r="P203" s="2"/>
      <c r="Q203" s="2"/>
      <c r="R203" s="2"/>
      <c r="S203" s="218"/>
      <c r="T203" s="218"/>
      <c r="U203" s="218"/>
      <c r="V203" s="218"/>
      <c r="W203" s="218"/>
      <c r="X203" s="218"/>
      <c r="Y203" s="218"/>
      <c r="Z203" s="218"/>
      <c r="AA203" s="218"/>
      <c r="AB203" s="4"/>
      <c r="AC203" s="4"/>
      <c r="AD203" s="4"/>
      <c r="AE203" s="4"/>
      <c r="AF203" s="4"/>
      <c r="AG203" s="4"/>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row>
    <row r="204" ht="14.25" customHeight="1">
      <c r="A204" s="132"/>
      <c r="B204" s="2"/>
      <c r="C204" s="2"/>
      <c r="D204" s="2"/>
      <c r="E204" s="2"/>
      <c r="F204" s="2"/>
      <c r="G204" s="2"/>
      <c r="H204" s="2"/>
      <c r="I204" s="2"/>
      <c r="J204" s="2"/>
      <c r="K204" s="2"/>
      <c r="L204" s="2"/>
      <c r="M204" s="2"/>
      <c r="N204" s="2"/>
      <c r="O204" s="2"/>
      <c r="P204" s="2"/>
      <c r="Q204" s="2"/>
      <c r="R204" s="2"/>
      <c r="S204" s="218"/>
      <c r="T204" s="218"/>
      <c r="U204" s="218"/>
      <c r="V204" s="218"/>
      <c r="W204" s="218"/>
      <c r="X204" s="218"/>
      <c r="Y204" s="218"/>
      <c r="Z204" s="218"/>
      <c r="AA204" s="218"/>
      <c r="AB204" s="4"/>
      <c r="AC204" s="4"/>
      <c r="AD204" s="4"/>
      <c r="AE204" s="4"/>
      <c r="AF204" s="4"/>
      <c r="AG204" s="4"/>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row>
    <row r="205" ht="14.25" customHeight="1">
      <c r="A205" s="132"/>
      <c r="B205" s="2"/>
      <c r="C205" s="2"/>
      <c r="D205" s="2"/>
      <c r="E205" s="2"/>
      <c r="F205" s="2"/>
      <c r="G205" s="2"/>
      <c r="H205" s="2"/>
      <c r="I205" s="2"/>
      <c r="J205" s="2"/>
      <c r="K205" s="2"/>
      <c r="L205" s="2"/>
      <c r="M205" s="2"/>
      <c r="N205" s="2"/>
      <c r="O205" s="2"/>
      <c r="P205" s="2"/>
      <c r="Q205" s="2"/>
      <c r="R205" s="2"/>
      <c r="S205" s="218"/>
      <c r="T205" s="218"/>
      <c r="U205" s="218"/>
      <c r="V205" s="218"/>
      <c r="W205" s="218"/>
      <c r="X205" s="218"/>
      <c r="Y205" s="218"/>
      <c r="Z205" s="218"/>
      <c r="AA205" s="218"/>
      <c r="AB205" s="4"/>
      <c r="AC205" s="4"/>
      <c r="AD205" s="4"/>
      <c r="AE205" s="4"/>
      <c r="AF205" s="4"/>
      <c r="AG205" s="4"/>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row>
    <row r="206" ht="14.25" customHeight="1">
      <c r="A206" s="132"/>
      <c r="B206" s="2"/>
      <c r="C206" s="2"/>
      <c r="D206" s="2"/>
      <c r="E206" s="2"/>
      <c r="F206" s="2"/>
      <c r="G206" s="2"/>
      <c r="H206" s="2"/>
      <c r="I206" s="2"/>
      <c r="J206" s="2"/>
      <c r="K206" s="2"/>
      <c r="L206" s="2"/>
      <c r="M206" s="2"/>
      <c r="N206" s="2"/>
      <c r="O206" s="2"/>
      <c r="P206" s="2"/>
      <c r="Q206" s="2"/>
      <c r="R206" s="2"/>
      <c r="S206" s="218"/>
      <c r="T206" s="218"/>
      <c r="U206" s="218"/>
      <c r="V206" s="218"/>
      <c r="W206" s="218"/>
      <c r="X206" s="218"/>
      <c r="Y206" s="218"/>
      <c r="Z206" s="218"/>
      <c r="AA206" s="218"/>
      <c r="AB206" s="4"/>
      <c r="AC206" s="4"/>
      <c r="AD206" s="4"/>
      <c r="AE206" s="4"/>
      <c r="AF206" s="4"/>
      <c r="AG206" s="4"/>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row>
    <row r="207" ht="14.25" customHeight="1">
      <c r="A207" s="132"/>
      <c r="B207" s="2"/>
      <c r="C207" s="2"/>
      <c r="D207" s="2"/>
      <c r="E207" s="2"/>
      <c r="F207" s="2"/>
      <c r="G207" s="2"/>
      <c r="H207" s="2"/>
      <c r="I207" s="2"/>
      <c r="J207" s="2"/>
      <c r="K207" s="2"/>
      <c r="L207" s="2"/>
      <c r="M207" s="2"/>
      <c r="N207" s="2"/>
      <c r="O207" s="2"/>
      <c r="P207" s="2"/>
      <c r="Q207" s="2"/>
      <c r="R207" s="2"/>
      <c r="S207" s="218"/>
      <c r="T207" s="218"/>
      <c r="U207" s="218"/>
      <c r="V207" s="218"/>
      <c r="W207" s="218"/>
      <c r="X207" s="218"/>
      <c r="Y207" s="218"/>
      <c r="Z207" s="218"/>
      <c r="AA207" s="218"/>
      <c r="AB207" s="4"/>
      <c r="AC207" s="4"/>
      <c r="AD207" s="4"/>
      <c r="AE207" s="4"/>
      <c r="AF207" s="4"/>
      <c r="AG207" s="4"/>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row>
    <row r="208" ht="14.25" customHeight="1">
      <c r="A208" s="132"/>
      <c r="B208" s="2"/>
      <c r="C208" s="2"/>
      <c r="D208" s="2"/>
      <c r="E208" s="2"/>
      <c r="F208" s="2"/>
      <c r="G208" s="2"/>
      <c r="H208" s="2"/>
      <c r="I208" s="2"/>
      <c r="J208" s="2"/>
      <c r="K208" s="2"/>
      <c r="L208" s="2"/>
      <c r="M208" s="2"/>
      <c r="N208" s="2"/>
      <c r="O208" s="2"/>
      <c r="P208" s="2"/>
      <c r="Q208" s="2"/>
      <c r="R208" s="2"/>
      <c r="S208" s="218"/>
      <c r="T208" s="218"/>
      <c r="U208" s="218"/>
      <c r="V208" s="218"/>
      <c r="W208" s="218"/>
      <c r="X208" s="218"/>
      <c r="Y208" s="218"/>
      <c r="Z208" s="218"/>
      <c r="AA208" s="218"/>
      <c r="AB208" s="4"/>
      <c r="AC208" s="4"/>
      <c r="AD208" s="4"/>
      <c r="AE208" s="4"/>
      <c r="AF208" s="4"/>
      <c r="AG208" s="4"/>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row>
    <row r="209" ht="14.25" customHeight="1">
      <c r="A209" s="132"/>
      <c r="B209" s="2"/>
      <c r="C209" s="2"/>
      <c r="D209" s="2"/>
      <c r="E209" s="2"/>
      <c r="F209" s="2"/>
      <c r="G209" s="2"/>
      <c r="H209" s="2"/>
      <c r="I209" s="2"/>
      <c r="J209" s="2"/>
      <c r="K209" s="2"/>
      <c r="L209" s="2"/>
      <c r="M209" s="2"/>
      <c r="N209" s="2"/>
      <c r="O209" s="2"/>
      <c r="P209" s="2"/>
      <c r="Q209" s="2"/>
      <c r="R209" s="2"/>
      <c r="S209" s="218"/>
      <c r="T209" s="218"/>
      <c r="U209" s="218"/>
      <c r="V209" s="218"/>
      <c r="W209" s="218"/>
      <c r="X209" s="218"/>
      <c r="Y209" s="218"/>
      <c r="Z209" s="218"/>
      <c r="AA209" s="218"/>
      <c r="AB209" s="4"/>
      <c r="AC209" s="4"/>
      <c r="AD209" s="4"/>
      <c r="AE209" s="4"/>
      <c r="AF209" s="4"/>
      <c r="AG209" s="4"/>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row>
    <row r="210" ht="14.25" customHeight="1">
      <c r="A210" s="132"/>
      <c r="B210" s="2"/>
      <c r="C210" s="2"/>
      <c r="D210" s="2"/>
      <c r="E210" s="2"/>
      <c r="F210" s="2"/>
      <c r="G210" s="2"/>
      <c r="H210" s="2"/>
      <c r="I210" s="2"/>
      <c r="J210" s="2"/>
      <c r="K210" s="2"/>
      <c r="L210" s="2"/>
      <c r="M210" s="2"/>
      <c r="N210" s="2"/>
      <c r="O210" s="2"/>
      <c r="P210" s="2"/>
      <c r="Q210" s="2"/>
      <c r="R210" s="2"/>
      <c r="S210" s="218"/>
      <c r="T210" s="218"/>
      <c r="U210" s="218"/>
      <c r="V210" s="218"/>
      <c r="W210" s="218"/>
      <c r="X210" s="218"/>
      <c r="Y210" s="218"/>
      <c r="Z210" s="218"/>
      <c r="AA210" s="218"/>
      <c r="AB210" s="4"/>
      <c r="AC210" s="4"/>
      <c r="AD210" s="4"/>
      <c r="AE210" s="4"/>
      <c r="AF210" s="4"/>
      <c r="AG210" s="4"/>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row>
    <row r="211" ht="14.25" customHeight="1">
      <c r="A211" s="132"/>
      <c r="B211" s="2"/>
      <c r="C211" s="2"/>
      <c r="D211" s="2"/>
      <c r="E211" s="2"/>
      <c r="F211" s="2"/>
      <c r="G211" s="2"/>
      <c r="H211" s="2"/>
      <c r="I211" s="2"/>
      <c r="J211" s="2"/>
      <c r="K211" s="2"/>
      <c r="L211" s="2"/>
      <c r="M211" s="2"/>
      <c r="N211" s="2"/>
      <c r="O211" s="2"/>
      <c r="P211" s="2"/>
      <c r="Q211" s="2"/>
      <c r="R211" s="2"/>
      <c r="S211" s="218"/>
      <c r="T211" s="218"/>
      <c r="U211" s="218"/>
      <c r="V211" s="218"/>
      <c r="W211" s="218"/>
      <c r="X211" s="218"/>
      <c r="Y211" s="218"/>
      <c r="Z211" s="218"/>
      <c r="AA211" s="218"/>
      <c r="AB211" s="4"/>
      <c r="AC211" s="4"/>
      <c r="AD211" s="4"/>
      <c r="AE211" s="4"/>
      <c r="AF211" s="4"/>
      <c r="AG211" s="4"/>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row>
    <row r="212" ht="14.25" customHeight="1">
      <c r="A212" s="132"/>
      <c r="B212" s="2"/>
      <c r="C212" s="2"/>
      <c r="D212" s="2"/>
      <c r="E212" s="2"/>
      <c r="F212" s="2"/>
      <c r="G212" s="2"/>
      <c r="H212" s="2"/>
      <c r="I212" s="2"/>
      <c r="J212" s="2"/>
      <c r="K212" s="2"/>
      <c r="L212" s="2"/>
      <c r="M212" s="2"/>
      <c r="N212" s="2"/>
      <c r="O212" s="2"/>
      <c r="P212" s="2"/>
      <c r="Q212" s="2"/>
      <c r="R212" s="2"/>
      <c r="S212" s="218"/>
      <c r="T212" s="218"/>
      <c r="U212" s="218"/>
      <c r="V212" s="218"/>
      <c r="W212" s="218"/>
      <c r="X212" s="218"/>
      <c r="Y212" s="218"/>
      <c r="Z212" s="218"/>
      <c r="AA212" s="218"/>
      <c r="AB212" s="4"/>
      <c r="AC212" s="4"/>
      <c r="AD212" s="4"/>
      <c r="AE212" s="4"/>
      <c r="AF212" s="4"/>
      <c r="AG212" s="4"/>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row>
    <row r="213" ht="14.25" customHeight="1">
      <c r="A213" s="132"/>
      <c r="B213" s="2"/>
      <c r="C213" s="2"/>
      <c r="D213" s="2"/>
      <c r="E213" s="2"/>
      <c r="F213" s="2"/>
      <c r="G213" s="2"/>
      <c r="H213" s="2"/>
      <c r="I213" s="2"/>
      <c r="J213" s="2"/>
      <c r="K213" s="2"/>
      <c r="L213" s="2"/>
      <c r="M213" s="2"/>
      <c r="N213" s="2"/>
      <c r="O213" s="2"/>
      <c r="P213" s="2"/>
      <c r="Q213" s="2"/>
      <c r="R213" s="2"/>
      <c r="S213" s="218"/>
      <c r="T213" s="218"/>
      <c r="U213" s="218"/>
      <c r="V213" s="218"/>
      <c r="W213" s="218"/>
      <c r="X213" s="218"/>
      <c r="Y213" s="218"/>
      <c r="Z213" s="218"/>
      <c r="AA213" s="218"/>
      <c r="AB213" s="4"/>
      <c r="AC213" s="4"/>
      <c r="AD213" s="4"/>
      <c r="AE213" s="4"/>
      <c r="AF213" s="4"/>
      <c r="AG213" s="4"/>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row>
    <row r="214" ht="14.25" customHeight="1">
      <c r="A214" s="132"/>
      <c r="B214" s="2"/>
      <c r="C214" s="2"/>
      <c r="D214" s="2"/>
      <c r="E214" s="2"/>
      <c r="F214" s="2"/>
      <c r="G214" s="2"/>
      <c r="H214" s="2"/>
      <c r="I214" s="2"/>
      <c r="J214" s="2"/>
      <c r="K214" s="2"/>
      <c r="L214" s="2"/>
      <c r="M214" s="2"/>
      <c r="N214" s="2"/>
      <c r="O214" s="2"/>
      <c r="P214" s="2"/>
      <c r="Q214" s="2"/>
      <c r="R214" s="2"/>
      <c r="S214" s="218"/>
      <c r="T214" s="218"/>
      <c r="U214" s="218"/>
      <c r="V214" s="218"/>
      <c r="W214" s="218"/>
      <c r="X214" s="218"/>
      <c r="Y214" s="218"/>
      <c r="Z214" s="218"/>
      <c r="AA214" s="218"/>
      <c r="AB214" s="4"/>
      <c r="AC214" s="4"/>
      <c r="AD214" s="4"/>
      <c r="AE214" s="4"/>
      <c r="AF214" s="4"/>
      <c r="AG214" s="4"/>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row>
    <row r="215" ht="14.25" customHeight="1">
      <c r="A215" s="132"/>
      <c r="B215" s="2"/>
      <c r="C215" s="2"/>
      <c r="D215" s="2"/>
      <c r="E215" s="2"/>
      <c r="F215" s="2"/>
      <c r="G215" s="2"/>
      <c r="H215" s="2"/>
      <c r="I215" s="2"/>
      <c r="J215" s="2"/>
      <c r="K215" s="2"/>
      <c r="L215" s="2"/>
      <c r="M215" s="2"/>
      <c r="N215" s="2"/>
      <c r="O215" s="2"/>
      <c r="P215" s="2"/>
      <c r="Q215" s="2"/>
      <c r="R215" s="2"/>
      <c r="S215" s="218"/>
      <c r="T215" s="218"/>
      <c r="U215" s="218"/>
      <c r="V215" s="218"/>
      <c r="W215" s="218"/>
      <c r="X215" s="218"/>
      <c r="Y215" s="218"/>
      <c r="Z215" s="218"/>
      <c r="AA215" s="218"/>
      <c r="AB215" s="4"/>
      <c r="AC215" s="4"/>
      <c r="AD215" s="4"/>
      <c r="AE215" s="4"/>
      <c r="AF215" s="4"/>
      <c r="AG215" s="4"/>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row>
    <row r="216" ht="14.25" customHeight="1">
      <c r="A216" s="132"/>
      <c r="B216" s="2"/>
      <c r="C216" s="2"/>
      <c r="D216" s="2"/>
      <c r="E216" s="2"/>
      <c r="F216" s="2"/>
      <c r="G216" s="2"/>
      <c r="H216" s="2"/>
      <c r="I216" s="2"/>
      <c r="J216" s="2"/>
      <c r="K216" s="2"/>
      <c r="L216" s="2"/>
      <c r="M216" s="2"/>
      <c r="N216" s="2"/>
      <c r="O216" s="2"/>
      <c r="P216" s="2"/>
      <c r="Q216" s="2"/>
      <c r="R216" s="2"/>
      <c r="S216" s="218"/>
      <c r="T216" s="218"/>
      <c r="U216" s="218"/>
      <c r="V216" s="218"/>
      <c r="W216" s="218"/>
      <c r="X216" s="218"/>
      <c r="Y216" s="218"/>
      <c r="Z216" s="218"/>
      <c r="AA216" s="218"/>
      <c r="AB216" s="4"/>
      <c r="AC216" s="4"/>
      <c r="AD216" s="4"/>
      <c r="AE216" s="4"/>
      <c r="AF216" s="4"/>
      <c r="AG216" s="4"/>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row>
    <row r="217" ht="14.25" customHeight="1">
      <c r="A217" s="132"/>
      <c r="B217" s="2"/>
      <c r="C217" s="2"/>
      <c r="D217" s="2"/>
      <c r="E217" s="2"/>
      <c r="F217" s="2"/>
      <c r="G217" s="2"/>
      <c r="H217" s="2"/>
      <c r="I217" s="2"/>
      <c r="J217" s="2"/>
      <c r="K217" s="2"/>
      <c r="L217" s="2"/>
      <c r="M217" s="2"/>
      <c r="N217" s="2"/>
      <c r="O217" s="2"/>
      <c r="P217" s="2"/>
      <c r="Q217" s="2"/>
      <c r="R217" s="2"/>
      <c r="S217" s="218"/>
      <c r="T217" s="218"/>
      <c r="U217" s="218"/>
      <c r="V217" s="218"/>
      <c r="W217" s="218"/>
      <c r="X217" s="218"/>
      <c r="Y217" s="218"/>
      <c r="Z217" s="218"/>
      <c r="AA217" s="218"/>
      <c r="AB217" s="4"/>
      <c r="AC217" s="4"/>
      <c r="AD217" s="4"/>
      <c r="AE217" s="4"/>
      <c r="AF217" s="4"/>
      <c r="AG217" s="4"/>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row>
    <row r="218" ht="14.25" customHeight="1">
      <c r="A218" s="132"/>
      <c r="B218" s="2"/>
      <c r="C218" s="2"/>
      <c r="D218" s="2"/>
      <c r="E218" s="2"/>
      <c r="F218" s="2"/>
      <c r="G218" s="2"/>
      <c r="H218" s="2"/>
      <c r="I218" s="2"/>
      <c r="J218" s="2"/>
      <c r="K218" s="2"/>
      <c r="L218" s="2"/>
      <c r="M218" s="2"/>
      <c r="N218" s="2"/>
      <c r="O218" s="2"/>
      <c r="P218" s="2"/>
      <c r="Q218" s="2"/>
      <c r="R218" s="2"/>
      <c r="S218" s="218"/>
      <c r="T218" s="218"/>
      <c r="U218" s="218"/>
      <c r="V218" s="218"/>
      <c r="W218" s="218"/>
      <c r="X218" s="218"/>
      <c r="Y218" s="218"/>
      <c r="Z218" s="218"/>
      <c r="AA218" s="218"/>
      <c r="AB218" s="4"/>
      <c r="AC218" s="4"/>
      <c r="AD218" s="4"/>
      <c r="AE218" s="4"/>
      <c r="AF218" s="4"/>
      <c r="AG218" s="4"/>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row>
    <row r="219" ht="14.25" customHeight="1">
      <c r="A219" s="132"/>
      <c r="B219" s="2"/>
      <c r="C219" s="2"/>
      <c r="D219" s="2"/>
      <c r="E219" s="2"/>
      <c r="F219" s="2"/>
      <c r="G219" s="2"/>
      <c r="H219" s="2"/>
      <c r="I219" s="2"/>
      <c r="J219" s="2"/>
      <c r="K219" s="2"/>
      <c r="L219" s="2"/>
      <c r="M219" s="2"/>
      <c r="N219" s="2"/>
      <c r="O219" s="2"/>
      <c r="P219" s="2"/>
      <c r="Q219" s="2"/>
      <c r="R219" s="2"/>
      <c r="S219" s="218"/>
      <c r="T219" s="218"/>
      <c r="U219" s="218"/>
      <c r="V219" s="218"/>
      <c r="W219" s="218"/>
      <c r="X219" s="218"/>
      <c r="Y219" s="218"/>
      <c r="Z219" s="218"/>
      <c r="AA219" s="218"/>
      <c r="AB219" s="4"/>
      <c r="AC219" s="4"/>
      <c r="AD219" s="4"/>
      <c r="AE219" s="4"/>
      <c r="AF219" s="4"/>
      <c r="AG219" s="4"/>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row>
    <row r="220" ht="14.25" customHeight="1">
      <c r="A220" s="132"/>
      <c r="B220" s="2"/>
      <c r="C220" s="2"/>
      <c r="D220" s="2"/>
      <c r="E220" s="2"/>
      <c r="F220" s="2"/>
      <c r="G220" s="2"/>
      <c r="H220" s="2"/>
      <c r="I220" s="2"/>
      <c r="J220" s="2"/>
      <c r="K220" s="2"/>
      <c r="L220" s="2"/>
      <c r="M220" s="2"/>
      <c r="N220" s="2"/>
      <c r="O220" s="2"/>
      <c r="P220" s="2"/>
      <c r="Q220" s="2"/>
      <c r="R220" s="2"/>
      <c r="S220" s="218"/>
      <c r="T220" s="218"/>
      <c r="U220" s="218"/>
      <c r="V220" s="218"/>
      <c r="W220" s="218"/>
      <c r="X220" s="218"/>
      <c r="Y220" s="218"/>
      <c r="Z220" s="218"/>
      <c r="AA220" s="218"/>
      <c r="AB220" s="4"/>
      <c r="AC220" s="4"/>
      <c r="AD220" s="4"/>
      <c r="AE220" s="4"/>
      <c r="AF220" s="4"/>
      <c r="AG220" s="4"/>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row>
    <row r="221" ht="14.25" customHeight="1">
      <c r="A221" s="132"/>
      <c r="B221" s="2"/>
      <c r="C221" s="2"/>
      <c r="D221" s="2"/>
      <c r="E221" s="2"/>
      <c r="F221" s="2"/>
      <c r="G221" s="2"/>
      <c r="H221" s="2"/>
      <c r="I221" s="2"/>
      <c r="J221" s="2"/>
      <c r="K221" s="2"/>
      <c r="L221" s="2"/>
      <c r="M221" s="2"/>
      <c r="N221" s="2"/>
      <c r="O221" s="2"/>
      <c r="P221" s="2"/>
      <c r="Q221" s="2"/>
      <c r="R221" s="2"/>
      <c r="S221" s="218"/>
      <c r="T221" s="218"/>
      <c r="U221" s="218"/>
      <c r="V221" s="218"/>
      <c r="W221" s="218"/>
      <c r="X221" s="218"/>
      <c r="Y221" s="218"/>
      <c r="Z221" s="218"/>
      <c r="AA221" s="218"/>
      <c r="AB221" s="4"/>
      <c r="AC221" s="4"/>
      <c r="AD221" s="4"/>
      <c r="AE221" s="4"/>
      <c r="AF221" s="4"/>
      <c r="AG221" s="4"/>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row>
    <row r="222" ht="14.25" customHeight="1">
      <c r="A222" s="132"/>
      <c r="B222" s="2"/>
      <c r="C222" s="2"/>
      <c r="D222" s="2"/>
      <c r="E222" s="2"/>
      <c r="F222" s="2"/>
      <c r="G222" s="2"/>
      <c r="H222" s="2"/>
      <c r="I222" s="2"/>
      <c r="J222" s="2"/>
      <c r="K222" s="2"/>
      <c r="L222" s="2"/>
      <c r="M222" s="2"/>
      <c r="N222" s="2"/>
      <c r="O222" s="2"/>
      <c r="P222" s="2"/>
      <c r="Q222" s="2"/>
      <c r="R222" s="2"/>
      <c r="S222" s="218"/>
      <c r="T222" s="218"/>
      <c r="U222" s="218"/>
      <c r="V222" s="218"/>
      <c r="W222" s="218"/>
      <c r="X222" s="218"/>
      <c r="Y222" s="218"/>
      <c r="Z222" s="218"/>
      <c r="AA222" s="218"/>
      <c r="AB222" s="4"/>
      <c r="AC222" s="4"/>
      <c r="AD222" s="4"/>
      <c r="AE222" s="4"/>
      <c r="AF222" s="4"/>
      <c r="AG222" s="4"/>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row>
    <row r="223" ht="14.25" customHeight="1">
      <c r="A223" s="132"/>
      <c r="B223" s="2"/>
      <c r="C223" s="2"/>
      <c r="D223" s="2"/>
      <c r="E223" s="2"/>
      <c r="F223" s="2"/>
      <c r="G223" s="2"/>
      <c r="H223" s="2"/>
      <c r="I223" s="2"/>
      <c r="J223" s="2"/>
      <c r="K223" s="2"/>
      <c r="L223" s="2"/>
      <c r="M223" s="2"/>
      <c r="N223" s="2"/>
      <c r="O223" s="2"/>
      <c r="P223" s="2"/>
      <c r="Q223" s="2"/>
      <c r="R223" s="2"/>
      <c r="S223" s="218"/>
      <c r="T223" s="218"/>
      <c r="U223" s="218"/>
      <c r="V223" s="218"/>
      <c r="W223" s="218"/>
      <c r="X223" s="218"/>
      <c r="Y223" s="218"/>
      <c r="Z223" s="218"/>
      <c r="AA223" s="218"/>
      <c r="AB223" s="4"/>
      <c r="AC223" s="4"/>
      <c r="AD223" s="4"/>
      <c r="AE223" s="4"/>
      <c r="AF223" s="4"/>
      <c r="AG223" s="4"/>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row>
    <row r="224" ht="14.25" customHeight="1">
      <c r="A224" s="132"/>
      <c r="B224" s="2"/>
      <c r="C224" s="2"/>
      <c r="D224" s="2"/>
      <c r="E224" s="2"/>
      <c r="F224" s="2"/>
      <c r="G224" s="2"/>
      <c r="H224" s="2"/>
      <c r="I224" s="2"/>
      <c r="J224" s="2"/>
      <c r="K224" s="2"/>
      <c r="L224" s="2"/>
      <c r="M224" s="2"/>
      <c r="N224" s="2"/>
      <c r="O224" s="2"/>
      <c r="P224" s="2"/>
      <c r="Q224" s="2"/>
      <c r="R224" s="2"/>
      <c r="S224" s="218"/>
      <c r="T224" s="218"/>
      <c r="U224" s="218"/>
      <c r="V224" s="218"/>
      <c r="W224" s="218"/>
      <c r="X224" s="218"/>
      <c r="Y224" s="218"/>
      <c r="Z224" s="218"/>
      <c r="AA224" s="218"/>
      <c r="AB224" s="4"/>
      <c r="AC224" s="4"/>
      <c r="AD224" s="4"/>
      <c r="AE224" s="4"/>
      <c r="AF224" s="4"/>
      <c r="AG224" s="4"/>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row>
    <row r="225" ht="14.25" customHeight="1">
      <c r="A225" s="132"/>
      <c r="B225" s="2"/>
      <c r="C225" s="2"/>
      <c r="D225" s="2"/>
      <c r="E225" s="2"/>
      <c r="F225" s="2"/>
      <c r="G225" s="2"/>
      <c r="H225" s="2"/>
      <c r="I225" s="2"/>
      <c r="J225" s="2"/>
      <c r="K225" s="2"/>
      <c r="L225" s="2"/>
      <c r="M225" s="2"/>
      <c r="N225" s="2"/>
      <c r="O225" s="2"/>
      <c r="P225" s="2"/>
      <c r="Q225" s="2"/>
      <c r="R225" s="2"/>
      <c r="S225" s="218"/>
      <c r="T225" s="218"/>
      <c r="U225" s="218"/>
      <c r="V225" s="218"/>
      <c r="W225" s="218"/>
      <c r="X225" s="218"/>
      <c r="Y225" s="218"/>
      <c r="Z225" s="218"/>
      <c r="AA225" s="218"/>
      <c r="AB225" s="4"/>
      <c r="AC225" s="4"/>
      <c r="AD225" s="4"/>
      <c r="AE225" s="4"/>
      <c r="AF225" s="4"/>
      <c r="AG225" s="4"/>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row>
    <row r="226" ht="14.25" customHeight="1">
      <c r="A226" s="132"/>
      <c r="B226" s="2"/>
      <c r="C226" s="2"/>
      <c r="D226" s="2"/>
      <c r="E226" s="2"/>
      <c r="F226" s="2"/>
      <c r="G226" s="2"/>
      <c r="H226" s="2"/>
      <c r="I226" s="2"/>
      <c r="J226" s="2"/>
      <c r="K226" s="2"/>
      <c r="L226" s="2"/>
      <c r="M226" s="2"/>
      <c r="N226" s="2"/>
      <c r="O226" s="2"/>
      <c r="P226" s="2"/>
      <c r="Q226" s="2"/>
      <c r="R226" s="2"/>
      <c r="S226" s="218"/>
      <c r="T226" s="218"/>
      <c r="U226" s="218"/>
      <c r="V226" s="218"/>
      <c r="W226" s="218"/>
      <c r="X226" s="218"/>
      <c r="Y226" s="218"/>
      <c r="Z226" s="218"/>
      <c r="AA226" s="218"/>
      <c r="AB226" s="4"/>
      <c r="AC226" s="4"/>
      <c r="AD226" s="4"/>
      <c r="AE226" s="4"/>
      <c r="AF226" s="4"/>
      <c r="AG226" s="4"/>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row>
    <row r="227" ht="14.25" customHeight="1">
      <c r="A227" s="132"/>
      <c r="B227" s="2"/>
      <c r="C227" s="2"/>
      <c r="D227" s="2"/>
      <c r="E227" s="2"/>
      <c r="F227" s="2"/>
      <c r="G227" s="2"/>
      <c r="H227" s="2"/>
      <c r="I227" s="2"/>
      <c r="J227" s="2"/>
      <c r="K227" s="2"/>
      <c r="L227" s="2"/>
      <c r="M227" s="2"/>
      <c r="N227" s="2"/>
      <c r="O227" s="2"/>
      <c r="P227" s="2"/>
      <c r="Q227" s="2"/>
      <c r="R227" s="2"/>
      <c r="S227" s="218"/>
      <c r="T227" s="218"/>
      <c r="U227" s="218"/>
      <c r="V227" s="218"/>
      <c r="W227" s="218"/>
      <c r="X227" s="218"/>
      <c r="Y227" s="218"/>
      <c r="Z227" s="218"/>
      <c r="AA227" s="218"/>
      <c r="AB227" s="4"/>
      <c r="AC227" s="4"/>
      <c r="AD227" s="4"/>
      <c r="AE227" s="4"/>
      <c r="AF227" s="4"/>
      <c r="AG227" s="4"/>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row>
    <row r="228" ht="14.25" customHeight="1">
      <c r="A228" s="132"/>
      <c r="B228" s="2"/>
      <c r="C228" s="2"/>
      <c r="D228" s="2"/>
      <c r="E228" s="2"/>
      <c r="F228" s="2"/>
      <c r="G228" s="2"/>
      <c r="H228" s="2"/>
      <c r="I228" s="2"/>
      <c r="J228" s="2"/>
      <c r="K228" s="2"/>
      <c r="L228" s="2"/>
      <c r="M228" s="2"/>
      <c r="N228" s="2"/>
      <c r="O228" s="2"/>
      <c r="P228" s="2"/>
      <c r="Q228" s="2"/>
      <c r="R228" s="2"/>
      <c r="S228" s="218"/>
      <c r="T228" s="218"/>
      <c r="U228" s="218"/>
      <c r="V228" s="218"/>
      <c r="W228" s="218"/>
      <c r="X228" s="218"/>
      <c r="Y228" s="218"/>
      <c r="Z228" s="218"/>
      <c r="AA228" s="218"/>
      <c r="AB228" s="4"/>
      <c r="AC228" s="4"/>
      <c r="AD228" s="4"/>
      <c r="AE228" s="4"/>
      <c r="AF228" s="4"/>
      <c r="AG228" s="4"/>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row>
    <row r="229" ht="14.25" customHeight="1">
      <c r="A229" s="132"/>
      <c r="B229" s="2"/>
      <c r="C229" s="2"/>
      <c r="D229" s="2"/>
      <c r="E229" s="2"/>
      <c r="F229" s="2"/>
      <c r="G229" s="2"/>
      <c r="H229" s="2"/>
      <c r="I229" s="2"/>
      <c r="J229" s="2"/>
      <c r="K229" s="2"/>
      <c r="L229" s="2"/>
      <c r="M229" s="2"/>
      <c r="N229" s="2"/>
      <c r="O229" s="2"/>
      <c r="P229" s="2"/>
      <c r="Q229" s="2"/>
      <c r="R229" s="2"/>
      <c r="S229" s="218"/>
      <c r="T229" s="218"/>
      <c r="U229" s="218"/>
      <c r="V229" s="218"/>
      <c r="W229" s="218"/>
      <c r="X229" s="218"/>
      <c r="Y229" s="218"/>
      <c r="Z229" s="218"/>
      <c r="AA229" s="218"/>
      <c r="AB229" s="4"/>
      <c r="AC229" s="4"/>
      <c r="AD229" s="4"/>
      <c r="AE229" s="4"/>
      <c r="AF229" s="4"/>
      <c r="AG229" s="4"/>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row>
    <row r="230" ht="14.25" customHeight="1">
      <c r="A230" s="132"/>
      <c r="B230" s="2"/>
      <c r="C230" s="2"/>
      <c r="D230" s="2"/>
      <c r="E230" s="2"/>
      <c r="F230" s="2"/>
      <c r="G230" s="2"/>
      <c r="H230" s="2"/>
      <c r="I230" s="2"/>
      <c r="J230" s="2"/>
      <c r="K230" s="2"/>
      <c r="L230" s="2"/>
      <c r="M230" s="2"/>
      <c r="N230" s="2"/>
      <c r="O230" s="2"/>
      <c r="P230" s="2"/>
      <c r="Q230" s="2"/>
      <c r="R230" s="2"/>
      <c r="S230" s="218"/>
      <c r="T230" s="218"/>
      <c r="U230" s="218"/>
      <c r="V230" s="218"/>
      <c r="W230" s="218"/>
      <c r="X230" s="218"/>
      <c r="Y230" s="218"/>
      <c r="Z230" s="218"/>
      <c r="AA230" s="218"/>
      <c r="AB230" s="4"/>
      <c r="AC230" s="4"/>
      <c r="AD230" s="4"/>
      <c r="AE230" s="4"/>
      <c r="AF230" s="4"/>
      <c r="AG230" s="4"/>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row>
    <row r="231" ht="14.25" customHeight="1">
      <c r="A231" s="132"/>
      <c r="B231" s="2"/>
      <c r="C231" s="2"/>
      <c r="D231" s="2"/>
      <c r="E231" s="2"/>
      <c r="F231" s="2"/>
      <c r="G231" s="2"/>
      <c r="H231" s="2"/>
      <c r="I231" s="2"/>
      <c r="J231" s="2"/>
      <c r="K231" s="2"/>
      <c r="L231" s="2"/>
      <c r="M231" s="2"/>
      <c r="N231" s="2"/>
      <c r="O231" s="2"/>
      <c r="P231" s="2"/>
      <c r="Q231" s="2"/>
      <c r="R231" s="2"/>
      <c r="S231" s="218"/>
      <c r="T231" s="218"/>
      <c r="U231" s="218"/>
      <c r="V231" s="218"/>
      <c r="W231" s="218"/>
      <c r="X231" s="218"/>
      <c r="Y231" s="218"/>
      <c r="Z231" s="218"/>
      <c r="AA231" s="218"/>
      <c r="AB231" s="4"/>
      <c r="AC231" s="4"/>
      <c r="AD231" s="4"/>
      <c r="AE231" s="4"/>
      <c r="AF231" s="4"/>
      <c r="AG231" s="4"/>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row>
    <row r="232" ht="14.25" customHeight="1">
      <c r="A232" s="132"/>
      <c r="B232" s="2"/>
      <c r="C232" s="2"/>
      <c r="D232" s="2"/>
      <c r="E232" s="2"/>
      <c r="F232" s="2"/>
      <c r="G232" s="2"/>
      <c r="H232" s="2"/>
      <c r="I232" s="2"/>
      <c r="J232" s="2"/>
      <c r="K232" s="2"/>
      <c r="L232" s="2"/>
      <c r="M232" s="2"/>
      <c r="N232" s="2"/>
      <c r="O232" s="2"/>
      <c r="P232" s="2"/>
      <c r="Q232" s="2"/>
      <c r="R232" s="2"/>
      <c r="S232" s="218"/>
      <c r="T232" s="218"/>
      <c r="U232" s="218"/>
      <c r="V232" s="218"/>
      <c r="W232" s="218"/>
      <c r="X232" s="218"/>
      <c r="Y232" s="218"/>
      <c r="Z232" s="218"/>
      <c r="AA232" s="218"/>
      <c r="AB232" s="4"/>
      <c r="AC232" s="4"/>
      <c r="AD232" s="4"/>
      <c r="AE232" s="4"/>
      <c r="AF232" s="4"/>
      <c r="AG232" s="4"/>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row>
    <row r="233" ht="14.25" customHeight="1">
      <c r="A233" s="132"/>
      <c r="B233" s="2"/>
      <c r="C233" s="2"/>
      <c r="D233" s="2"/>
      <c r="E233" s="2"/>
      <c r="F233" s="2"/>
      <c r="G233" s="2"/>
      <c r="H233" s="2"/>
      <c r="I233" s="2"/>
      <c r="J233" s="2"/>
      <c r="K233" s="2"/>
      <c r="L233" s="2"/>
      <c r="M233" s="2"/>
      <c r="N233" s="2"/>
      <c r="O233" s="2"/>
      <c r="P233" s="2"/>
      <c r="Q233" s="2"/>
      <c r="R233" s="2"/>
      <c r="S233" s="218"/>
      <c r="T233" s="218"/>
      <c r="U233" s="218"/>
      <c r="V233" s="218"/>
      <c r="W233" s="218"/>
      <c r="X233" s="218"/>
      <c r="Y233" s="218"/>
      <c r="Z233" s="218"/>
      <c r="AA233" s="218"/>
      <c r="AB233" s="4"/>
      <c r="AC233" s="4"/>
      <c r="AD233" s="4"/>
      <c r="AE233" s="4"/>
      <c r="AF233" s="4"/>
      <c r="AG233" s="4"/>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row>
    <row r="234" ht="14.25" customHeight="1">
      <c r="A234" s="132"/>
      <c r="B234" s="2"/>
      <c r="C234" s="2"/>
      <c r="D234" s="2"/>
      <c r="E234" s="2"/>
      <c r="F234" s="2"/>
      <c r="G234" s="2"/>
      <c r="H234" s="2"/>
      <c r="I234" s="2"/>
      <c r="J234" s="2"/>
      <c r="K234" s="2"/>
      <c r="L234" s="2"/>
      <c r="M234" s="2"/>
      <c r="N234" s="2"/>
      <c r="O234" s="2"/>
      <c r="P234" s="2"/>
      <c r="Q234" s="2"/>
      <c r="R234" s="2"/>
      <c r="S234" s="218"/>
      <c r="T234" s="218"/>
      <c r="U234" s="218"/>
      <c r="V234" s="218"/>
      <c r="W234" s="218"/>
      <c r="X234" s="218"/>
      <c r="Y234" s="218"/>
      <c r="Z234" s="218"/>
      <c r="AA234" s="218"/>
      <c r="AB234" s="4"/>
      <c r="AC234" s="4"/>
      <c r="AD234" s="4"/>
      <c r="AE234" s="4"/>
      <c r="AF234" s="4"/>
      <c r="AG234" s="4"/>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row>
    <row r="235" ht="14.25" customHeight="1">
      <c r="A235" s="132"/>
      <c r="B235" s="2"/>
      <c r="C235" s="2"/>
      <c r="D235" s="2"/>
      <c r="E235" s="2"/>
      <c r="F235" s="2"/>
      <c r="G235" s="2"/>
      <c r="H235" s="2"/>
      <c r="I235" s="2"/>
      <c r="J235" s="2"/>
      <c r="K235" s="2"/>
      <c r="L235" s="2"/>
      <c r="M235" s="2"/>
      <c r="N235" s="2"/>
      <c r="O235" s="2"/>
      <c r="P235" s="2"/>
      <c r="Q235" s="2"/>
      <c r="R235" s="2"/>
      <c r="S235" s="218"/>
      <c r="T235" s="218"/>
      <c r="U235" s="218"/>
      <c r="V235" s="218"/>
      <c r="W235" s="218"/>
      <c r="X235" s="218"/>
      <c r="Y235" s="218"/>
      <c r="Z235" s="218"/>
      <c r="AA235" s="218"/>
      <c r="AB235" s="4"/>
      <c r="AC235" s="4"/>
      <c r="AD235" s="4"/>
      <c r="AE235" s="4"/>
      <c r="AF235" s="4"/>
      <c r="AG235" s="4"/>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row>
    <row r="236" ht="14.25" customHeight="1">
      <c r="A236" s="132"/>
      <c r="B236" s="2"/>
      <c r="C236" s="2"/>
      <c r="D236" s="2"/>
      <c r="E236" s="2"/>
      <c r="F236" s="2"/>
      <c r="G236" s="2"/>
      <c r="H236" s="2"/>
      <c r="I236" s="2"/>
      <c r="J236" s="2"/>
      <c r="K236" s="2"/>
      <c r="L236" s="2"/>
      <c r="M236" s="2"/>
      <c r="N236" s="2"/>
      <c r="O236" s="2"/>
      <c r="P236" s="2"/>
      <c r="Q236" s="2"/>
      <c r="R236" s="2"/>
      <c r="S236" s="218"/>
      <c r="T236" s="218"/>
      <c r="U236" s="218"/>
      <c r="V236" s="218"/>
      <c r="W236" s="218"/>
      <c r="X236" s="218"/>
      <c r="Y236" s="218"/>
      <c r="Z236" s="218"/>
      <c r="AA236" s="218"/>
      <c r="AB236" s="4"/>
      <c r="AC236" s="4"/>
      <c r="AD236" s="4"/>
      <c r="AE236" s="4"/>
      <c r="AF236" s="4"/>
      <c r="AG236" s="4"/>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row>
    <row r="237" ht="14.25" customHeight="1">
      <c r="A237" s="132"/>
      <c r="B237" s="2"/>
      <c r="C237" s="2"/>
      <c r="D237" s="2"/>
      <c r="E237" s="2"/>
      <c r="F237" s="2"/>
      <c r="G237" s="2"/>
      <c r="H237" s="2"/>
      <c r="I237" s="2"/>
      <c r="J237" s="2"/>
      <c r="K237" s="2"/>
      <c r="L237" s="2"/>
      <c r="M237" s="2"/>
      <c r="N237" s="2"/>
      <c r="O237" s="2"/>
      <c r="P237" s="2"/>
      <c r="Q237" s="2"/>
      <c r="R237" s="2"/>
      <c r="S237" s="218"/>
      <c r="T237" s="218"/>
      <c r="U237" s="218"/>
      <c r="V237" s="218"/>
      <c r="W237" s="218"/>
      <c r="X237" s="218"/>
      <c r="Y237" s="218"/>
      <c r="Z237" s="218"/>
      <c r="AA237" s="218"/>
      <c r="AB237" s="4"/>
      <c r="AC237" s="4"/>
      <c r="AD237" s="4"/>
      <c r="AE237" s="4"/>
      <c r="AF237" s="4"/>
      <c r="AG237" s="4"/>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row>
    <row r="238" ht="14.25" customHeight="1">
      <c r="A238" s="132"/>
      <c r="B238" s="2"/>
      <c r="C238" s="2"/>
      <c r="D238" s="2"/>
      <c r="E238" s="2"/>
      <c r="F238" s="2"/>
      <c r="G238" s="2"/>
      <c r="H238" s="2"/>
      <c r="I238" s="2"/>
      <c r="J238" s="2"/>
      <c r="K238" s="2"/>
      <c r="L238" s="2"/>
      <c r="M238" s="2"/>
      <c r="N238" s="2"/>
      <c r="O238" s="2"/>
      <c r="P238" s="2"/>
      <c r="Q238" s="2"/>
      <c r="R238" s="2"/>
      <c r="S238" s="218"/>
      <c r="T238" s="218"/>
      <c r="U238" s="218"/>
      <c r="V238" s="218"/>
      <c r="W238" s="218"/>
      <c r="X238" s="218"/>
      <c r="Y238" s="218"/>
      <c r="Z238" s="218"/>
      <c r="AA238" s="218"/>
      <c r="AB238" s="4"/>
      <c r="AC238" s="4"/>
      <c r="AD238" s="4"/>
      <c r="AE238" s="4"/>
      <c r="AF238" s="4"/>
      <c r="AG238" s="4"/>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row>
    <row r="239" ht="14.25" customHeight="1">
      <c r="A239" s="132"/>
      <c r="B239" s="2"/>
      <c r="C239" s="2"/>
      <c r="D239" s="2"/>
      <c r="E239" s="2"/>
      <c r="F239" s="2"/>
      <c r="G239" s="2"/>
      <c r="H239" s="2"/>
      <c r="I239" s="2"/>
      <c r="J239" s="2"/>
      <c r="K239" s="2"/>
      <c r="L239" s="2"/>
      <c r="M239" s="2"/>
      <c r="N239" s="2"/>
      <c r="O239" s="2"/>
      <c r="P239" s="2"/>
      <c r="Q239" s="2"/>
      <c r="R239" s="2"/>
      <c r="S239" s="218"/>
      <c r="T239" s="218"/>
      <c r="U239" s="218"/>
      <c r="V239" s="218"/>
      <c r="W239" s="218"/>
      <c r="X239" s="218"/>
      <c r="Y239" s="218"/>
      <c r="Z239" s="218"/>
      <c r="AA239" s="218"/>
      <c r="AB239" s="4"/>
      <c r="AC239" s="4"/>
      <c r="AD239" s="4"/>
      <c r="AE239" s="4"/>
      <c r="AF239" s="4"/>
      <c r="AG239" s="4"/>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row>
    <row r="240" ht="14.25" customHeight="1">
      <c r="A240" s="132"/>
      <c r="B240" s="2"/>
      <c r="C240" s="2"/>
      <c r="D240" s="2"/>
      <c r="E240" s="2"/>
      <c r="F240" s="2"/>
      <c r="G240" s="2"/>
      <c r="H240" s="2"/>
      <c r="I240" s="2"/>
      <c r="J240" s="2"/>
      <c r="K240" s="2"/>
      <c r="L240" s="2"/>
      <c r="M240" s="2"/>
      <c r="N240" s="2"/>
      <c r="O240" s="2"/>
      <c r="P240" s="2"/>
      <c r="Q240" s="2"/>
      <c r="R240" s="2"/>
      <c r="S240" s="218"/>
      <c r="T240" s="218"/>
      <c r="U240" s="218"/>
      <c r="V240" s="218"/>
      <c r="W240" s="218"/>
      <c r="X240" s="218"/>
      <c r="Y240" s="218"/>
      <c r="Z240" s="218"/>
      <c r="AA240" s="218"/>
      <c r="AB240" s="4"/>
      <c r="AC240" s="4"/>
      <c r="AD240" s="4"/>
      <c r="AE240" s="4"/>
      <c r="AF240" s="4"/>
      <c r="AG240" s="4"/>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row>
    <row r="241" ht="14.25" customHeight="1">
      <c r="A241" s="132"/>
      <c r="B241" s="2"/>
      <c r="C241" s="2"/>
      <c r="D241" s="2"/>
      <c r="E241" s="2"/>
      <c r="F241" s="2"/>
      <c r="G241" s="2"/>
      <c r="H241" s="2"/>
      <c r="I241" s="2"/>
      <c r="J241" s="2"/>
      <c r="K241" s="2"/>
      <c r="L241" s="2"/>
      <c r="M241" s="2"/>
      <c r="N241" s="2"/>
      <c r="O241" s="2"/>
      <c r="P241" s="2"/>
      <c r="Q241" s="2"/>
      <c r="R241" s="2"/>
      <c r="S241" s="218"/>
      <c r="T241" s="218"/>
      <c r="U241" s="218"/>
      <c r="V241" s="218"/>
      <c r="W241" s="218"/>
      <c r="X241" s="218"/>
      <c r="Y241" s="218"/>
      <c r="Z241" s="218"/>
      <c r="AA241" s="218"/>
      <c r="AB241" s="4"/>
      <c r="AC241" s="4"/>
      <c r="AD241" s="4"/>
      <c r="AE241" s="4"/>
      <c r="AF241" s="4"/>
      <c r="AG241" s="4"/>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row>
    <row r="242" ht="14.25" customHeight="1">
      <c r="A242" s="132"/>
      <c r="B242" s="2"/>
      <c r="C242" s="2"/>
      <c r="D242" s="2"/>
      <c r="E242" s="2"/>
      <c r="F242" s="2"/>
      <c r="G242" s="2"/>
      <c r="H242" s="2"/>
      <c r="I242" s="2"/>
      <c r="J242" s="2"/>
      <c r="K242" s="2"/>
      <c r="L242" s="2"/>
      <c r="M242" s="2"/>
      <c r="N242" s="2"/>
      <c r="O242" s="2"/>
      <c r="P242" s="2"/>
      <c r="Q242" s="2"/>
      <c r="R242" s="2"/>
      <c r="S242" s="218"/>
      <c r="T242" s="218"/>
      <c r="U242" s="218"/>
      <c r="V242" s="218"/>
      <c r="W242" s="218"/>
      <c r="X242" s="218"/>
      <c r="Y242" s="218"/>
      <c r="Z242" s="218"/>
      <c r="AA242" s="218"/>
      <c r="AB242" s="4"/>
      <c r="AC242" s="4"/>
      <c r="AD242" s="4"/>
      <c r="AE242" s="4"/>
      <c r="AF242" s="4"/>
      <c r="AG242" s="4"/>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row>
    <row r="243" ht="14.25" customHeight="1">
      <c r="A243" s="132"/>
      <c r="B243" s="2"/>
      <c r="C243" s="2"/>
      <c r="D243" s="2"/>
      <c r="E243" s="2"/>
      <c r="F243" s="2"/>
      <c r="G243" s="2"/>
      <c r="H243" s="2"/>
      <c r="I243" s="2"/>
      <c r="J243" s="2"/>
      <c r="K243" s="2"/>
      <c r="L243" s="2"/>
      <c r="M243" s="2"/>
      <c r="N243" s="2"/>
      <c r="O243" s="2"/>
      <c r="P243" s="2"/>
      <c r="Q243" s="2"/>
      <c r="R243" s="2"/>
      <c r="S243" s="218"/>
      <c r="T243" s="218"/>
      <c r="U243" s="218"/>
      <c r="V243" s="218"/>
      <c r="W243" s="218"/>
      <c r="X243" s="218"/>
      <c r="Y243" s="218"/>
      <c r="Z243" s="218"/>
      <c r="AA243" s="218"/>
      <c r="AB243" s="4"/>
      <c r="AC243" s="4"/>
      <c r="AD243" s="4"/>
      <c r="AE243" s="4"/>
      <c r="AF243" s="4"/>
      <c r="AG243" s="4"/>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row>
    <row r="244" ht="14.25" customHeight="1">
      <c r="A244" s="132"/>
      <c r="B244" s="2"/>
      <c r="C244" s="2"/>
      <c r="D244" s="2"/>
      <c r="E244" s="2"/>
      <c r="F244" s="2"/>
      <c r="G244" s="2"/>
      <c r="H244" s="2"/>
      <c r="I244" s="2"/>
      <c r="J244" s="2"/>
      <c r="K244" s="2"/>
      <c r="L244" s="2"/>
      <c r="M244" s="2"/>
      <c r="N244" s="2"/>
      <c r="O244" s="2"/>
      <c r="P244" s="2"/>
      <c r="Q244" s="2"/>
      <c r="R244" s="2"/>
      <c r="S244" s="218"/>
      <c r="T244" s="218"/>
      <c r="U244" s="218"/>
      <c r="V244" s="218"/>
      <c r="W244" s="218"/>
      <c r="X244" s="218"/>
      <c r="Y244" s="218"/>
      <c r="Z244" s="218"/>
      <c r="AA244" s="218"/>
      <c r="AB244" s="4"/>
      <c r="AC244" s="4"/>
      <c r="AD244" s="4"/>
      <c r="AE244" s="4"/>
      <c r="AF244" s="4"/>
      <c r="AG244" s="4"/>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row>
    <row r="245" ht="14.25" customHeight="1">
      <c r="A245" s="132"/>
      <c r="B245" s="2"/>
      <c r="C245" s="2"/>
      <c r="D245" s="2"/>
      <c r="E245" s="2"/>
      <c r="F245" s="2"/>
      <c r="G245" s="2"/>
      <c r="H245" s="2"/>
      <c r="I245" s="2"/>
      <c r="J245" s="2"/>
      <c r="K245" s="2"/>
      <c r="L245" s="2"/>
      <c r="M245" s="2"/>
      <c r="N245" s="2"/>
      <c r="O245" s="2"/>
      <c r="P245" s="2"/>
      <c r="Q245" s="2"/>
      <c r="R245" s="2"/>
      <c r="S245" s="218"/>
      <c r="T245" s="218"/>
      <c r="U245" s="218"/>
      <c r="V245" s="218"/>
      <c r="W245" s="218"/>
      <c r="X245" s="218"/>
      <c r="Y245" s="218"/>
      <c r="Z245" s="218"/>
      <c r="AA245" s="218"/>
      <c r="AB245" s="4"/>
      <c r="AC245" s="4"/>
      <c r="AD245" s="4"/>
      <c r="AE245" s="4"/>
      <c r="AF245" s="4"/>
      <c r="AG245" s="4"/>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row>
    <row r="246" ht="14.25" customHeight="1">
      <c r="A246" s="132"/>
      <c r="B246" s="2"/>
      <c r="C246" s="2"/>
      <c r="D246" s="2"/>
      <c r="E246" s="2"/>
      <c r="F246" s="2"/>
      <c r="G246" s="2"/>
      <c r="H246" s="2"/>
      <c r="I246" s="2"/>
      <c r="J246" s="2"/>
      <c r="K246" s="2"/>
      <c r="L246" s="2"/>
      <c r="M246" s="2"/>
      <c r="N246" s="2"/>
      <c r="O246" s="2"/>
      <c r="P246" s="2"/>
      <c r="Q246" s="2"/>
      <c r="R246" s="2"/>
      <c r="S246" s="218"/>
      <c r="T246" s="218"/>
      <c r="U246" s="218"/>
      <c r="V246" s="218"/>
      <c r="W246" s="218"/>
      <c r="X246" s="218"/>
      <c r="Y246" s="218"/>
      <c r="Z246" s="218"/>
      <c r="AA246" s="218"/>
      <c r="AB246" s="4"/>
      <c r="AC246" s="4"/>
      <c r="AD246" s="4"/>
      <c r="AE246" s="4"/>
      <c r="AF246" s="4"/>
      <c r="AG246" s="4"/>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row>
    <row r="247" ht="14.25" customHeight="1">
      <c r="A247" s="132"/>
      <c r="B247" s="2"/>
      <c r="C247" s="2"/>
      <c r="D247" s="2"/>
      <c r="E247" s="2"/>
      <c r="F247" s="2"/>
      <c r="G247" s="2"/>
      <c r="H247" s="2"/>
      <c r="I247" s="2"/>
      <c r="J247" s="2"/>
      <c r="K247" s="2"/>
      <c r="L247" s="2"/>
      <c r="M247" s="2"/>
      <c r="N247" s="2"/>
      <c r="O247" s="2"/>
      <c r="P247" s="2"/>
      <c r="Q247" s="2"/>
      <c r="R247" s="2"/>
      <c r="S247" s="218"/>
      <c r="T247" s="218"/>
      <c r="U247" s="218"/>
      <c r="V247" s="218"/>
      <c r="W247" s="218"/>
      <c r="X247" s="218"/>
      <c r="Y247" s="218"/>
      <c r="Z247" s="218"/>
      <c r="AA247" s="218"/>
      <c r="AB247" s="4"/>
      <c r="AC247" s="4"/>
      <c r="AD247" s="4"/>
      <c r="AE247" s="4"/>
      <c r="AF247" s="4"/>
      <c r="AG247" s="4"/>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row>
    <row r="248" ht="14.25" customHeight="1">
      <c r="A248" s="132"/>
      <c r="B248" s="2"/>
      <c r="C248" s="2"/>
      <c r="D248" s="2"/>
      <c r="E248" s="2"/>
      <c r="F248" s="2"/>
      <c r="G248" s="2"/>
      <c r="H248" s="2"/>
      <c r="I248" s="2"/>
      <c r="J248" s="2"/>
      <c r="K248" s="2"/>
      <c r="L248" s="2"/>
      <c r="M248" s="2"/>
      <c r="N248" s="2"/>
      <c r="O248" s="2"/>
      <c r="P248" s="2"/>
      <c r="Q248" s="2"/>
      <c r="R248" s="2"/>
      <c r="S248" s="218"/>
      <c r="T248" s="218"/>
      <c r="U248" s="218"/>
      <c r="V248" s="218"/>
      <c r="W248" s="218"/>
      <c r="X248" s="218"/>
      <c r="Y248" s="218"/>
      <c r="Z248" s="218"/>
      <c r="AA248" s="218"/>
      <c r="AB248" s="4"/>
      <c r="AC248" s="4"/>
      <c r="AD248" s="4"/>
      <c r="AE248" s="4"/>
      <c r="AF248" s="4"/>
      <c r="AG248" s="4"/>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row>
    <row r="249" ht="14.25" customHeight="1">
      <c r="A249" s="132"/>
      <c r="B249" s="2"/>
      <c r="C249" s="2"/>
      <c r="D249" s="2"/>
      <c r="E249" s="2"/>
      <c r="F249" s="2"/>
      <c r="G249" s="2"/>
      <c r="H249" s="2"/>
      <c r="I249" s="2"/>
      <c r="J249" s="2"/>
      <c r="K249" s="2"/>
      <c r="L249" s="2"/>
      <c r="M249" s="2"/>
      <c r="N249" s="2"/>
      <c r="O249" s="2"/>
      <c r="P249" s="2"/>
      <c r="Q249" s="2"/>
      <c r="R249" s="2"/>
      <c r="S249" s="218"/>
      <c r="T249" s="218"/>
      <c r="U249" s="218"/>
      <c r="V249" s="218"/>
      <c r="W249" s="218"/>
      <c r="X249" s="218"/>
      <c r="Y249" s="218"/>
      <c r="Z249" s="218"/>
      <c r="AA249" s="218"/>
      <c r="AB249" s="4"/>
      <c r="AC249" s="4"/>
      <c r="AD249" s="4"/>
      <c r="AE249" s="4"/>
      <c r="AF249" s="4"/>
      <c r="AG249" s="4"/>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row>
    <row r="250" ht="14.25" customHeight="1">
      <c r="A250" s="132"/>
      <c r="B250" s="2"/>
      <c r="C250" s="2"/>
      <c r="D250" s="2"/>
      <c r="E250" s="2"/>
      <c r="F250" s="2"/>
      <c r="G250" s="2"/>
      <c r="H250" s="2"/>
      <c r="I250" s="2"/>
      <c r="J250" s="2"/>
      <c r="K250" s="2"/>
      <c r="L250" s="2"/>
      <c r="M250" s="2"/>
      <c r="N250" s="2"/>
      <c r="O250" s="2"/>
      <c r="P250" s="2"/>
      <c r="Q250" s="2"/>
      <c r="R250" s="2"/>
      <c r="S250" s="218"/>
      <c r="T250" s="218"/>
      <c r="U250" s="218"/>
      <c r="V250" s="218"/>
      <c r="W250" s="218"/>
      <c r="X250" s="218"/>
      <c r="Y250" s="218"/>
      <c r="Z250" s="218"/>
      <c r="AA250" s="218"/>
      <c r="AB250" s="4"/>
      <c r="AC250" s="4"/>
      <c r="AD250" s="4"/>
      <c r="AE250" s="4"/>
      <c r="AF250" s="4"/>
      <c r="AG250" s="4"/>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row>
    <row r="251" ht="14.25" customHeight="1">
      <c r="A251" s="132"/>
      <c r="B251" s="2"/>
      <c r="C251" s="2"/>
      <c r="D251" s="2"/>
      <c r="E251" s="2"/>
      <c r="F251" s="2"/>
      <c r="G251" s="2"/>
      <c r="H251" s="2"/>
      <c r="I251" s="2"/>
      <c r="J251" s="2"/>
      <c r="K251" s="2"/>
      <c r="L251" s="2"/>
      <c r="M251" s="2"/>
      <c r="N251" s="2"/>
      <c r="O251" s="2"/>
      <c r="P251" s="2"/>
      <c r="Q251" s="2"/>
      <c r="R251" s="2"/>
      <c r="S251" s="218"/>
      <c r="T251" s="218"/>
      <c r="U251" s="218"/>
      <c r="V251" s="218"/>
      <c r="W251" s="218"/>
      <c r="X251" s="218"/>
      <c r="Y251" s="218"/>
      <c r="Z251" s="218"/>
      <c r="AA251" s="218"/>
      <c r="AB251" s="4"/>
      <c r="AC251" s="4"/>
      <c r="AD251" s="4"/>
      <c r="AE251" s="4"/>
      <c r="AF251" s="4"/>
      <c r="AG251" s="4"/>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row>
    <row r="252" ht="14.25" customHeight="1">
      <c r="A252" s="132"/>
      <c r="B252" s="2"/>
      <c r="C252" s="2"/>
      <c r="D252" s="2"/>
      <c r="E252" s="2"/>
      <c r="F252" s="2"/>
      <c r="G252" s="2"/>
      <c r="H252" s="2"/>
      <c r="I252" s="2"/>
      <c r="J252" s="2"/>
      <c r="K252" s="2"/>
      <c r="L252" s="2"/>
      <c r="M252" s="2"/>
      <c r="N252" s="2"/>
      <c r="O252" s="2"/>
      <c r="P252" s="2"/>
      <c r="Q252" s="2"/>
      <c r="R252" s="2"/>
      <c r="S252" s="218"/>
      <c r="T252" s="218"/>
      <c r="U252" s="218"/>
      <c r="V252" s="218"/>
      <c r="W252" s="218"/>
      <c r="X252" s="218"/>
      <c r="Y252" s="218"/>
      <c r="Z252" s="218"/>
      <c r="AA252" s="218"/>
      <c r="AB252" s="4"/>
      <c r="AC252" s="4"/>
      <c r="AD252" s="4"/>
      <c r="AE252" s="4"/>
      <c r="AF252" s="4"/>
      <c r="AG252" s="4"/>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row>
    <row r="253" ht="14.25" customHeight="1">
      <c r="A253" s="132"/>
      <c r="B253" s="2"/>
      <c r="C253" s="2"/>
      <c r="D253" s="2"/>
      <c r="E253" s="2"/>
      <c r="F253" s="2"/>
      <c r="G253" s="2"/>
      <c r="H253" s="2"/>
      <c r="I253" s="2"/>
      <c r="J253" s="2"/>
      <c r="K253" s="2"/>
      <c r="L253" s="2"/>
      <c r="M253" s="2"/>
      <c r="N253" s="2"/>
      <c r="O253" s="2"/>
      <c r="P253" s="2"/>
      <c r="Q253" s="2"/>
      <c r="R253" s="2"/>
      <c r="S253" s="218"/>
      <c r="T253" s="218"/>
      <c r="U253" s="218"/>
      <c r="V253" s="218"/>
      <c r="W253" s="218"/>
      <c r="X253" s="218"/>
      <c r="Y253" s="218"/>
      <c r="Z253" s="218"/>
      <c r="AA253" s="218"/>
      <c r="AB253" s="4"/>
      <c r="AC253" s="4"/>
      <c r="AD253" s="4"/>
      <c r="AE253" s="4"/>
      <c r="AF253" s="4"/>
      <c r="AG253" s="4"/>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row>
    <row r="254" ht="14.25" customHeight="1">
      <c r="A254" s="132"/>
      <c r="B254" s="2"/>
      <c r="C254" s="2"/>
      <c r="D254" s="2"/>
      <c r="E254" s="2"/>
      <c r="F254" s="2"/>
      <c r="G254" s="2"/>
      <c r="H254" s="2"/>
      <c r="I254" s="2"/>
      <c r="J254" s="2"/>
      <c r="K254" s="2"/>
      <c r="L254" s="2"/>
      <c r="M254" s="2"/>
      <c r="N254" s="2"/>
      <c r="O254" s="2"/>
      <c r="P254" s="2"/>
      <c r="Q254" s="2"/>
      <c r="R254" s="2"/>
      <c r="S254" s="218"/>
      <c r="T254" s="218"/>
      <c r="U254" s="218"/>
      <c r="V254" s="218"/>
      <c r="W254" s="218"/>
      <c r="X254" s="218"/>
      <c r="Y254" s="218"/>
      <c r="Z254" s="218"/>
      <c r="AA254" s="218"/>
      <c r="AB254" s="4"/>
      <c r="AC254" s="4"/>
      <c r="AD254" s="4"/>
      <c r="AE254" s="4"/>
      <c r="AF254" s="4"/>
      <c r="AG254" s="4"/>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row>
    <row r="255" ht="14.25" customHeight="1">
      <c r="A255" s="132"/>
      <c r="B255" s="2"/>
      <c r="C255" s="2"/>
      <c r="D255" s="2"/>
      <c r="E255" s="2"/>
      <c r="F255" s="2"/>
      <c r="G255" s="2"/>
      <c r="H255" s="2"/>
      <c r="I255" s="2"/>
      <c r="J255" s="2"/>
      <c r="K255" s="2"/>
      <c r="L255" s="2"/>
      <c r="M255" s="2"/>
      <c r="N255" s="2"/>
      <c r="O255" s="2"/>
      <c r="P255" s="2"/>
      <c r="Q255" s="2"/>
      <c r="R255" s="2"/>
      <c r="S255" s="218"/>
      <c r="T255" s="218"/>
      <c r="U255" s="218"/>
      <c r="V255" s="218"/>
      <c r="W255" s="218"/>
      <c r="X255" s="218"/>
      <c r="Y255" s="218"/>
      <c r="Z255" s="218"/>
      <c r="AA255" s="218"/>
      <c r="AB255" s="4"/>
      <c r="AC255" s="4"/>
      <c r="AD255" s="4"/>
      <c r="AE255" s="4"/>
      <c r="AF255" s="4"/>
      <c r="AG255" s="4"/>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row>
    <row r="256" ht="14.25" customHeight="1">
      <c r="A256" s="132"/>
      <c r="B256" s="2"/>
      <c r="C256" s="2"/>
      <c r="D256" s="2"/>
      <c r="E256" s="2"/>
      <c r="F256" s="2"/>
      <c r="G256" s="2"/>
      <c r="H256" s="2"/>
      <c r="I256" s="2"/>
      <c r="J256" s="2"/>
      <c r="K256" s="2"/>
      <c r="L256" s="2"/>
      <c r="M256" s="2"/>
      <c r="N256" s="2"/>
      <c r="O256" s="2"/>
      <c r="P256" s="2"/>
      <c r="Q256" s="2"/>
      <c r="R256" s="2"/>
      <c r="S256" s="218"/>
      <c r="T256" s="218"/>
      <c r="U256" s="218"/>
      <c r="V256" s="218"/>
      <c r="W256" s="218"/>
      <c r="X256" s="218"/>
      <c r="Y256" s="218"/>
      <c r="Z256" s="218"/>
      <c r="AA256" s="218"/>
      <c r="AB256" s="4"/>
      <c r="AC256" s="4"/>
      <c r="AD256" s="4"/>
      <c r="AE256" s="4"/>
      <c r="AF256" s="4"/>
      <c r="AG256" s="4"/>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row>
    <row r="257" ht="14.25" customHeight="1">
      <c r="A257" s="132"/>
      <c r="B257" s="2"/>
      <c r="C257" s="2"/>
      <c r="D257" s="2"/>
      <c r="E257" s="2"/>
      <c r="F257" s="2"/>
      <c r="G257" s="2"/>
      <c r="H257" s="2"/>
      <c r="I257" s="2"/>
      <c r="J257" s="2"/>
      <c r="K257" s="2"/>
      <c r="L257" s="2"/>
      <c r="M257" s="2"/>
      <c r="N257" s="2"/>
      <c r="O257" s="2"/>
      <c r="P257" s="2"/>
      <c r="Q257" s="2"/>
      <c r="R257" s="2"/>
      <c r="S257" s="218"/>
      <c r="T257" s="218"/>
      <c r="U257" s="218"/>
      <c r="V257" s="218"/>
      <c r="W257" s="218"/>
      <c r="X257" s="218"/>
      <c r="Y257" s="218"/>
      <c r="Z257" s="218"/>
      <c r="AA257" s="218"/>
      <c r="AB257" s="4"/>
      <c r="AC257" s="4"/>
      <c r="AD257" s="4"/>
      <c r="AE257" s="4"/>
      <c r="AF257" s="4"/>
      <c r="AG257" s="4"/>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row>
    <row r="258" ht="14.25" customHeight="1">
      <c r="A258" s="132"/>
      <c r="B258" s="2"/>
      <c r="C258" s="2"/>
      <c r="D258" s="2"/>
      <c r="E258" s="2"/>
      <c r="F258" s="2"/>
      <c r="G258" s="2"/>
      <c r="H258" s="2"/>
      <c r="I258" s="2"/>
      <c r="J258" s="2"/>
      <c r="K258" s="2"/>
      <c r="L258" s="2"/>
      <c r="M258" s="2"/>
      <c r="N258" s="2"/>
      <c r="O258" s="2"/>
      <c r="P258" s="2"/>
      <c r="Q258" s="2"/>
      <c r="R258" s="2"/>
      <c r="S258" s="218"/>
      <c r="T258" s="218"/>
      <c r="U258" s="218"/>
      <c r="V258" s="218"/>
      <c r="W258" s="218"/>
      <c r="X258" s="218"/>
      <c r="Y258" s="218"/>
      <c r="Z258" s="218"/>
      <c r="AA258" s="218"/>
      <c r="AB258" s="4"/>
      <c r="AC258" s="4"/>
      <c r="AD258" s="4"/>
      <c r="AE258" s="4"/>
      <c r="AF258" s="4"/>
      <c r="AG258" s="4"/>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row>
    <row r="259" ht="14.25" customHeight="1">
      <c r="A259" s="132"/>
      <c r="B259" s="2"/>
      <c r="C259" s="2"/>
      <c r="D259" s="2"/>
      <c r="E259" s="2"/>
      <c r="F259" s="2"/>
      <c r="G259" s="2"/>
      <c r="H259" s="2"/>
      <c r="I259" s="2"/>
      <c r="J259" s="2"/>
      <c r="K259" s="2"/>
      <c r="L259" s="2"/>
      <c r="M259" s="2"/>
      <c r="N259" s="2"/>
      <c r="O259" s="2"/>
      <c r="P259" s="2"/>
      <c r="Q259" s="2"/>
      <c r="R259" s="2"/>
      <c r="S259" s="218"/>
      <c r="T259" s="218"/>
      <c r="U259" s="218"/>
      <c r="V259" s="218"/>
      <c r="W259" s="218"/>
      <c r="X259" s="218"/>
      <c r="Y259" s="218"/>
      <c r="Z259" s="218"/>
      <c r="AA259" s="218"/>
      <c r="AB259" s="4"/>
      <c r="AC259" s="4"/>
      <c r="AD259" s="4"/>
      <c r="AE259" s="4"/>
      <c r="AF259" s="4"/>
      <c r="AG259" s="4"/>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row>
    <row r="260" ht="14.25" customHeight="1">
      <c r="A260" s="132"/>
      <c r="B260" s="2"/>
      <c r="C260" s="2"/>
      <c r="D260" s="2"/>
      <c r="E260" s="2"/>
      <c r="F260" s="2"/>
      <c r="G260" s="2"/>
      <c r="H260" s="2"/>
      <c r="I260" s="2"/>
      <c r="J260" s="2"/>
      <c r="K260" s="2"/>
      <c r="L260" s="2"/>
      <c r="M260" s="2"/>
      <c r="N260" s="2"/>
      <c r="O260" s="2"/>
      <c r="P260" s="2"/>
      <c r="Q260" s="2"/>
      <c r="R260" s="2"/>
      <c r="S260" s="218"/>
      <c r="T260" s="218"/>
      <c r="U260" s="218"/>
      <c r="V260" s="218"/>
      <c r="W260" s="218"/>
      <c r="X260" s="218"/>
      <c r="Y260" s="218"/>
      <c r="Z260" s="218"/>
      <c r="AA260" s="218"/>
      <c r="AB260" s="4"/>
      <c r="AC260" s="4"/>
      <c r="AD260" s="4"/>
      <c r="AE260" s="4"/>
      <c r="AF260" s="4"/>
      <c r="AG260" s="4"/>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row>
    <row r="261" ht="14.25" customHeight="1">
      <c r="A261" s="132"/>
      <c r="B261" s="2"/>
      <c r="C261" s="2"/>
      <c r="D261" s="2"/>
      <c r="E261" s="2"/>
      <c r="F261" s="2"/>
      <c r="G261" s="2"/>
      <c r="H261" s="2"/>
      <c r="I261" s="2"/>
      <c r="J261" s="2"/>
      <c r="K261" s="2"/>
      <c r="L261" s="2"/>
      <c r="M261" s="2"/>
      <c r="N261" s="2"/>
      <c r="O261" s="2"/>
      <c r="P261" s="2"/>
      <c r="Q261" s="2"/>
      <c r="R261" s="2"/>
      <c r="S261" s="218"/>
      <c r="T261" s="218"/>
      <c r="U261" s="218"/>
      <c r="V261" s="218"/>
      <c r="W261" s="218"/>
      <c r="X261" s="218"/>
      <c r="Y261" s="218"/>
      <c r="Z261" s="218"/>
      <c r="AA261" s="218"/>
      <c r="AB261" s="4"/>
      <c r="AC261" s="4"/>
      <c r="AD261" s="4"/>
      <c r="AE261" s="4"/>
      <c r="AF261" s="4"/>
      <c r="AG261" s="4"/>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row>
    <row r="262" ht="14.25" customHeight="1">
      <c r="A262" s="132"/>
      <c r="B262" s="2"/>
      <c r="C262" s="2"/>
      <c r="D262" s="2"/>
      <c r="E262" s="2"/>
      <c r="F262" s="2"/>
      <c r="G262" s="2"/>
      <c r="H262" s="2"/>
      <c r="I262" s="2"/>
      <c r="J262" s="2"/>
      <c r="K262" s="2"/>
      <c r="L262" s="2"/>
      <c r="M262" s="2"/>
      <c r="N262" s="2"/>
      <c r="O262" s="2"/>
      <c r="P262" s="2"/>
      <c r="Q262" s="2"/>
      <c r="R262" s="2"/>
      <c r="S262" s="218"/>
      <c r="T262" s="218"/>
      <c r="U262" s="218"/>
      <c r="V262" s="218"/>
      <c r="W262" s="218"/>
      <c r="X262" s="218"/>
      <c r="Y262" s="218"/>
      <c r="Z262" s="218"/>
      <c r="AA262" s="218"/>
      <c r="AB262" s="4"/>
      <c r="AC262" s="4"/>
      <c r="AD262" s="4"/>
      <c r="AE262" s="4"/>
      <c r="AF262" s="4"/>
      <c r="AG262" s="4"/>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row>
    <row r="263" ht="14.25" customHeight="1">
      <c r="A263" s="132"/>
      <c r="B263" s="2"/>
      <c r="C263" s="2"/>
      <c r="D263" s="2"/>
      <c r="E263" s="2"/>
      <c r="F263" s="2"/>
      <c r="G263" s="2"/>
      <c r="H263" s="2"/>
      <c r="I263" s="2"/>
      <c r="J263" s="2"/>
      <c r="K263" s="2"/>
      <c r="L263" s="2"/>
      <c r="M263" s="2"/>
      <c r="N263" s="2"/>
      <c r="O263" s="2"/>
      <c r="P263" s="2"/>
      <c r="Q263" s="2"/>
      <c r="R263" s="2"/>
      <c r="S263" s="218"/>
      <c r="T263" s="218"/>
      <c r="U263" s="218"/>
      <c r="V263" s="218"/>
      <c r="W263" s="218"/>
      <c r="X263" s="218"/>
      <c r="Y263" s="218"/>
      <c r="Z263" s="218"/>
      <c r="AA263" s="218"/>
      <c r="AB263" s="4"/>
      <c r="AC263" s="4"/>
      <c r="AD263" s="4"/>
      <c r="AE263" s="4"/>
      <c r="AF263" s="4"/>
      <c r="AG263" s="4"/>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row>
    <row r="264" ht="14.25" customHeight="1">
      <c r="A264" s="132"/>
      <c r="B264" s="2"/>
      <c r="C264" s="2"/>
      <c r="D264" s="2"/>
      <c r="E264" s="2"/>
      <c r="F264" s="2"/>
      <c r="G264" s="2"/>
      <c r="H264" s="2"/>
      <c r="I264" s="2"/>
      <c r="J264" s="2"/>
      <c r="K264" s="2"/>
      <c r="L264" s="2"/>
      <c r="M264" s="2"/>
      <c r="N264" s="2"/>
      <c r="O264" s="2"/>
      <c r="P264" s="2"/>
      <c r="Q264" s="2"/>
      <c r="R264" s="2"/>
      <c r="S264" s="218"/>
      <c r="T264" s="218"/>
      <c r="U264" s="218"/>
      <c r="V264" s="218"/>
      <c r="W264" s="218"/>
      <c r="X264" s="218"/>
      <c r="Y264" s="218"/>
      <c r="Z264" s="218"/>
      <c r="AA264" s="218"/>
      <c r="AB264" s="4"/>
      <c r="AC264" s="4"/>
      <c r="AD264" s="4"/>
      <c r="AE264" s="4"/>
      <c r="AF264" s="4"/>
      <c r="AG264" s="4"/>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row>
    <row r="265" ht="14.25" customHeight="1">
      <c r="A265" s="132"/>
      <c r="B265" s="2"/>
      <c r="C265" s="2"/>
      <c r="D265" s="2"/>
      <c r="E265" s="2"/>
      <c r="F265" s="2"/>
      <c r="G265" s="2"/>
      <c r="H265" s="2"/>
      <c r="I265" s="2"/>
      <c r="J265" s="2"/>
      <c r="K265" s="2"/>
      <c r="L265" s="2"/>
      <c r="M265" s="2"/>
      <c r="N265" s="2"/>
      <c r="O265" s="2"/>
      <c r="P265" s="2"/>
      <c r="Q265" s="2"/>
      <c r="R265" s="2"/>
      <c r="S265" s="218"/>
      <c r="T265" s="218"/>
      <c r="U265" s="218"/>
      <c r="V265" s="218"/>
      <c r="W265" s="218"/>
      <c r="X265" s="218"/>
      <c r="Y265" s="218"/>
      <c r="Z265" s="218"/>
      <c r="AA265" s="218"/>
      <c r="AB265" s="4"/>
      <c r="AC265" s="4"/>
      <c r="AD265" s="4"/>
      <c r="AE265" s="4"/>
      <c r="AF265" s="4"/>
      <c r="AG265" s="4"/>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row>
    <row r="266" ht="14.25" customHeight="1">
      <c r="A266" s="132"/>
      <c r="B266" s="2"/>
      <c r="C266" s="2"/>
      <c r="D266" s="2"/>
      <c r="E266" s="2"/>
      <c r="F266" s="2"/>
      <c r="G266" s="2"/>
      <c r="H266" s="2"/>
      <c r="I266" s="2"/>
      <c r="J266" s="2"/>
      <c r="K266" s="2"/>
      <c r="L266" s="2"/>
      <c r="M266" s="2"/>
      <c r="N266" s="2"/>
      <c r="O266" s="2"/>
      <c r="P266" s="2"/>
      <c r="Q266" s="2"/>
      <c r="R266" s="2"/>
      <c r="S266" s="218"/>
      <c r="T266" s="218"/>
      <c r="U266" s="218"/>
      <c r="V266" s="218"/>
      <c r="W266" s="218"/>
      <c r="X266" s="218"/>
      <c r="Y266" s="218"/>
      <c r="Z266" s="218"/>
      <c r="AA266" s="218"/>
      <c r="AB266" s="4"/>
      <c r="AC266" s="4"/>
      <c r="AD266" s="4"/>
      <c r="AE266" s="4"/>
      <c r="AF266" s="4"/>
      <c r="AG266" s="4"/>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row>
    <row r="267" ht="14.25" customHeight="1">
      <c r="A267" s="132"/>
      <c r="B267" s="2"/>
      <c r="C267" s="2"/>
      <c r="D267" s="2"/>
      <c r="E267" s="2"/>
      <c r="F267" s="2"/>
      <c r="G267" s="2"/>
      <c r="H267" s="2"/>
      <c r="I267" s="2"/>
      <c r="J267" s="2"/>
      <c r="K267" s="2"/>
      <c r="L267" s="2"/>
      <c r="M267" s="2"/>
      <c r="N267" s="2"/>
      <c r="O267" s="2"/>
      <c r="P267" s="2"/>
      <c r="Q267" s="2"/>
      <c r="R267" s="2"/>
      <c r="S267" s="218"/>
      <c r="T267" s="218"/>
      <c r="U267" s="218"/>
      <c r="V267" s="218"/>
      <c r="W267" s="218"/>
      <c r="X267" s="218"/>
      <c r="Y267" s="218"/>
      <c r="Z267" s="218"/>
      <c r="AA267" s="218"/>
      <c r="AB267" s="4"/>
      <c r="AC267" s="4"/>
      <c r="AD267" s="4"/>
      <c r="AE267" s="4"/>
      <c r="AF267" s="4"/>
      <c r="AG267" s="4"/>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row>
    <row r="268" ht="14.25" customHeight="1">
      <c r="A268" s="132"/>
      <c r="B268" s="2"/>
      <c r="C268" s="2"/>
      <c r="D268" s="2"/>
      <c r="E268" s="2"/>
      <c r="F268" s="2"/>
      <c r="G268" s="2"/>
      <c r="H268" s="2"/>
      <c r="I268" s="2"/>
      <c r="J268" s="2"/>
      <c r="K268" s="2"/>
      <c r="L268" s="2"/>
      <c r="M268" s="2"/>
      <c r="N268" s="2"/>
      <c r="O268" s="2"/>
      <c r="P268" s="2"/>
      <c r="Q268" s="2"/>
      <c r="R268" s="2"/>
      <c r="S268" s="218"/>
      <c r="T268" s="218"/>
      <c r="U268" s="218"/>
      <c r="V268" s="218"/>
      <c r="W268" s="218"/>
      <c r="X268" s="218"/>
      <c r="Y268" s="218"/>
      <c r="Z268" s="218"/>
      <c r="AA268" s="218"/>
      <c r="AB268" s="4"/>
      <c r="AC268" s="4"/>
      <c r="AD268" s="4"/>
      <c r="AE268" s="4"/>
      <c r="AF268" s="4"/>
      <c r="AG268" s="4"/>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row>
    <row r="269" ht="14.25" customHeight="1">
      <c r="A269" s="132"/>
      <c r="B269" s="2"/>
      <c r="C269" s="2"/>
      <c r="D269" s="2"/>
      <c r="E269" s="2"/>
      <c r="F269" s="2"/>
      <c r="G269" s="2"/>
      <c r="H269" s="2"/>
      <c r="I269" s="2"/>
      <c r="J269" s="2"/>
      <c r="K269" s="2"/>
      <c r="L269" s="2"/>
      <c r="M269" s="2"/>
      <c r="N269" s="2"/>
      <c r="O269" s="2"/>
      <c r="P269" s="2"/>
      <c r="Q269" s="2"/>
      <c r="R269" s="2"/>
      <c r="S269" s="218"/>
      <c r="T269" s="218"/>
      <c r="U269" s="218"/>
      <c r="V269" s="218"/>
      <c r="W269" s="218"/>
      <c r="X269" s="218"/>
      <c r="Y269" s="218"/>
      <c r="Z269" s="218"/>
      <c r="AA269" s="218"/>
      <c r="AB269" s="4"/>
      <c r="AC269" s="4"/>
      <c r="AD269" s="4"/>
      <c r="AE269" s="4"/>
      <c r="AF269" s="4"/>
      <c r="AG269" s="4"/>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row>
    <row r="270" ht="14.25" customHeight="1">
      <c r="A270" s="132"/>
      <c r="B270" s="2"/>
      <c r="C270" s="2"/>
      <c r="D270" s="2"/>
      <c r="E270" s="2"/>
      <c r="F270" s="2"/>
      <c r="G270" s="2"/>
      <c r="H270" s="2"/>
      <c r="I270" s="2"/>
      <c r="J270" s="2"/>
      <c r="K270" s="2"/>
      <c r="L270" s="2"/>
      <c r="M270" s="2"/>
      <c r="N270" s="2"/>
      <c r="O270" s="2"/>
      <c r="P270" s="2"/>
      <c r="Q270" s="2"/>
      <c r="R270" s="2"/>
      <c r="S270" s="218"/>
      <c r="T270" s="218"/>
      <c r="U270" s="218"/>
      <c r="V270" s="218"/>
      <c r="W270" s="218"/>
      <c r="X270" s="218"/>
      <c r="Y270" s="218"/>
      <c r="Z270" s="218"/>
      <c r="AA270" s="218"/>
      <c r="AB270" s="4"/>
      <c r="AC270" s="4"/>
      <c r="AD270" s="4"/>
      <c r="AE270" s="4"/>
      <c r="AF270" s="4"/>
      <c r="AG270" s="4"/>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row>
    <row r="271" ht="14.25" customHeight="1">
      <c r="A271" s="132"/>
      <c r="B271" s="2"/>
      <c r="C271" s="2"/>
      <c r="D271" s="2"/>
      <c r="E271" s="2"/>
      <c r="F271" s="2"/>
      <c r="G271" s="2"/>
      <c r="H271" s="2"/>
      <c r="I271" s="2"/>
      <c r="J271" s="2"/>
      <c r="K271" s="2"/>
      <c r="L271" s="2"/>
      <c r="M271" s="2"/>
      <c r="N271" s="2"/>
      <c r="O271" s="2"/>
      <c r="P271" s="2"/>
      <c r="Q271" s="2"/>
      <c r="R271" s="2"/>
      <c r="S271" s="218"/>
      <c r="T271" s="218"/>
      <c r="U271" s="218"/>
      <c r="V271" s="218"/>
      <c r="W271" s="218"/>
      <c r="X271" s="218"/>
      <c r="Y271" s="218"/>
      <c r="Z271" s="218"/>
      <c r="AA271" s="218"/>
      <c r="AB271" s="4"/>
      <c r="AC271" s="4"/>
      <c r="AD271" s="4"/>
      <c r="AE271" s="4"/>
      <c r="AF271" s="4"/>
      <c r="AG271" s="4"/>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row>
    <row r="272" ht="14.25" customHeight="1">
      <c r="A272" s="132"/>
      <c r="B272" s="2"/>
      <c r="C272" s="2"/>
      <c r="D272" s="2"/>
      <c r="E272" s="2"/>
      <c r="F272" s="2"/>
      <c r="G272" s="2"/>
      <c r="H272" s="2"/>
      <c r="I272" s="2"/>
      <c r="J272" s="2"/>
      <c r="K272" s="2"/>
      <c r="L272" s="2"/>
      <c r="M272" s="2"/>
      <c r="N272" s="2"/>
      <c r="O272" s="2"/>
      <c r="P272" s="2"/>
      <c r="Q272" s="2"/>
      <c r="R272" s="2"/>
      <c r="S272" s="218"/>
      <c r="T272" s="218"/>
      <c r="U272" s="218"/>
      <c r="V272" s="218"/>
      <c r="W272" s="218"/>
      <c r="X272" s="218"/>
      <c r="Y272" s="218"/>
      <c r="Z272" s="218"/>
      <c r="AA272" s="218"/>
      <c r="AB272" s="4"/>
      <c r="AC272" s="4"/>
      <c r="AD272" s="4"/>
      <c r="AE272" s="4"/>
      <c r="AF272" s="4"/>
      <c r="AG272" s="4"/>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row>
    <row r="273" ht="15.75" customHeight="1">
      <c r="A273" s="5"/>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row>
    <row r="274" ht="15.75" customHeight="1">
      <c r="A274" s="5"/>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row>
    <row r="275" ht="15.75" customHeight="1">
      <c r="A275" s="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row>
    <row r="276" ht="15.75" customHeight="1">
      <c r="A276" s="5"/>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row>
    <row r="277" ht="15.75" customHeight="1">
      <c r="A277" s="5"/>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row>
    <row r="278" ht="15.75" customHeight="1">
      <c r="A278" s="5"/>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row>
    <row r="279" ht="15.75" customHeight="1">
      <c r="A279" s="5"/>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row>
    <row r="280" ht="15.75" customHeight="1">
      <c r="A280" s="5"/>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row>
    <row r="281" ht="15.75" customHeight="1">
      <c r="A281" s="5"/>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row>
    <row r="282" ht="15.75" customHeight="1">
      <c r="A282" s="5"/>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row>
    <row r="283" ht="15.75" customHeight="1">
      <c r="A283" s="5"/>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row>
    <row r="284" ht="15.75" customHeight="1">
      <c r="A284" s="5"/>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row>
    <row r="285" ht="15.75" customHeight="1">
      <c r="A285" s="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row>
    <row r="286" ht="15.75" customHeight="1">
      <c r="A286" s="5"/>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row>
    <row r="287" ht="15.75" customHeight="1">
      <c r="A287" s="5"/>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row>
    <row r="288" ht="15.75" customHeight="1">
      <c r="A288" s="5"/>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row>
    <row r="289" ht="15.75" customHeight="1">
      <c r="A289" s="5"/>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row>
    <row r="290" ht="15.75" customHeight="1">
      <c r="A290" s="5"/>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row>
    <row r="291" ht="15.75" customHeight="1">
      <c r="A291" s="5"/>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row>
    <row r="292" ht="15.75" customHeight="1">
      <c r="A292" s="5"/>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row>
    <row r="293" ht="15.75" customHeight="1">
      <c r="A293" s="5"/>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row>
    <row r="294" ht="15.75" customHeight="1">
      <c r="A294" s="5"/>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row>
    <row r="295" ht="15.75" customHeight="1">
      <c r="A295" s="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row>
    <row r="296" ht="15.75" customHeight="1">
      <c r="A296" s="5"/>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row>
    <row r="297" ht="15.75" customHeight="1">
      <c r="A297" s="5"/>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row>
    <row r="298" ht="15.75" customHeight="1">
      <c r="A298" s="5"/>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row>
    <row r="299" ht="15.75" customHeight="1">
      <c r="A299" s="5"/>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row>
    <row r="300" ht="15.75" customHeight="1">
      <c r="A300" s="5"/>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row>
    <row r="301" ht="15.75" customHeight="1">
      <c r="A301" s="5"/>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row>
    <row r="302" ht="15.75" customHeight="1">
      <c r="A302" s="5"/>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row>
    <row r="303" ht="15.75" customHeight="1">
      <c r="A303" s="5"/>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row>
    <row r="304" ht="15.75" customHeight="1">
      <c r="A304" s="5"/>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row>
    <row r="305" ht="15.75" customHeight="1">
      <c r="A305" s="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row>
    <row r="306" ht="15.75" customHeight="1">
      <c r="A306" s="5"/>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row>
    <row r="307" ht="15.75" customHeight="1">
      <c r="A307" s="5"/>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row>
    <row r="308" ht="15.75" customHeight="1">
      <c r="A308" s="5"/>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row>
    <row r="309" ht="15.75" customHeight="1">
      <c r="A309" s="5"/>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row>
    <row r="310" ht="15.75" customHeight="1">
      <c r="A310" s="5"/>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row>
    <row r="311" ht="15.75" customHeight="1">
      <c r="A311" s="5"/>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row>
    <row r="312" ht="15.75" customHeight="1">
      <c r="A312" s="5"/>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row>
    <row r="313" ht="15.75" customHeight="1">
      <c r="A313" s="5"/>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row>
    <row r="314" ht="15.75" customHeight="1">
      <c r="A314" s="5"/>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row>
    <row r="315" ht="15.75" customHeight="1">
      <c r="A315" s="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row>
    <row r="316" ht="15.75" customHeight="1">
      <c r="A316" s="5"/>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row>
    <row r="317" ht="15.75" customHeight="1">
      <c r="A317" s="5"/>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row>
    <row r="318" ht="15.75" customHeight="1">
      <c r="A318" s="5"/>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row>
    <row r="319" ht="15.75" customHeight="1">
      <c r="A319" s="5"/>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row>
    <row r="320" ht="15.75" customHeight="1">
      <c r="A320" s="5"/>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row>
    <row r="321" ht="15.75" customHeight="1">
      <c r="A321" s="5"/>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row>
    <row r="322" ht="15.75" customHeight="1">
      <c r="A322" s="5"/>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row>
    <row r="323" ht="15.75" customHeight="1">
      <c r="A323" s="5"/>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row>
    <row r="324" ht="15.75" customHeight="1">
      <c r="A324" s="5"/>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row>
    <row r="325" ht="15.75" customHeight="1">
      <c r="A325" s="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row>
    <row r="326" ht="15.75" customHeight="1">
      <c r="A326" s="5"/>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row>
    <row r="327" ht="15.75" customHeight="1">
      <c r="A327" s="5"/>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row>
    <row r="328" ht="15.75" customHeight="1">
      <c r="A328" s="5"/>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row>
    <row r="329" ht="15.75" customHeight="1">
      <c r="A329" s="5"/>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row>
    <row r="330" ht="15.75" customHeight="1">
      <c r="A330" s="5"/>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row>
    <row r="331" ht="15.75" customHeight="1">
      <c r="A331" s="5"/>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row>
    <row r="332" ht="15.75" customHeight="1">
      <c r="A332" s="5"/>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row>
    <row r="333" ht="15.75" customHeight="1">
      <c r="A333" s="5"/>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row>
    <row r="334" ht="15.75" customHeight="1">
      <c r="A334" s="5"/>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row>
    <row r="335" ht="15.75" customHeight="1">
      <c r="A335" s="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row>
    <row r="336" ht="15.75" customHeight="1">
      <c r="A336" s="5"/>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row>
    <row r="337" ht="15.75" customHeight="1">
      <c r="A337" s="5"/>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row>
    <row r="338" ht="15.75" customHeight="1">
      <c r="A338" s="5"/>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row>
    <row r="339" ht="15.75" customHeight="1">
      <c r="A339" s="5"/>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row>
    <row r="340" ht="15.75" customHeight="1">
      <c r="A340" s="5"/>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row>
    <row r="341" ht="15.75" customHeight="1">
      <c r="A341" s="5"/>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row>
    <row r="342" ht="15.75" customHeight="1">
      <c r="A342" s="5"/>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row>
    <row r="343" ht="15.75" customHeight="1">
      <c r="A343" s="5"/>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row>
    <row r="344" ht="15.75" customHeight="1">
      <c r="A344" s="5"/>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row>
    <row r="345" ht="15.75" customHeight="1">
      <c r="A345" s="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row>
    <row r="346" ht="15.75" customHeight="1">
      <c r="A346" s="5"/>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row>
    <row r="347" ht="15.75" customHeight="1">
      <c r="A347" s="5"/>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row>
    <row r="348" ht="15.75" customHeight="1">
      <c r="A348" s="5"/>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row>
    <row r="349" ht="15.75" customHeight="1">
      <c r="A349" s="5"/>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row>
    <row r="350" ht="15.75" customHeight="1">
      <c r="A350" s="5"/>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row>
    <row r="351" ht="15.75" customHeight="1">
      <c r="A351" s="5"/>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row>
    <row r="352" ht="15.75" customHeight="1">
      <c r="A352" s="5"/>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row>
    <row r="353" ht="15.75" customHeight="1">
      <c r="A353" s="5"/>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row>
    <row r="354" ht="15.75" customHeight="1">
      <c r="A354" s="5"/>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row>
    <row r="355" ht="15.75" customHeight="1">
      <c r="A355" s="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row>
    <row r="356" ht="15.75" customHeight="1">
      <c r="A356" s="5"/>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row>
    <row r="357" ht="15.75" customHeight="1">
      <c r="A357" s="5"/>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row>
    <row r="358" ht="15.75" customHeight="1">
      <c r="A358" s="5"/>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row>
    <row r="359" ht="15.75" customHeight="1">
      <c r="A359" s="5"/>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row>
    <row r="360" ht="15.75" customHeight="1">
      <c r="A360" s="5"/>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row>
    <row r="361" ht="15.75" customHeight="1">
      <c r="A361" s="5"/>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row>
    <row r="362" ht="15.75" customHeight="1">
      <c r="A362" s="5"/>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row>
    <row r="363" ht="15.75" customHeight="1">
      <c r="A363" s="5"/>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row>
    <row r="364" ht="15.75" customHeight="1">
      <c r="A364" s="5"/>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row>
    <row r="365" ht="15.75" customHeight="1">
      <c r="A365" s="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row>
    <row r="366" ht="15.75" customHeight="1">
      <c r="A366" s="5"/>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row>
    <row r="367" ht="15.75" customHeight="1">
      <c r="A367" s="5"/>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row>
    <row r="368" ht="15.75" customHeight="1">
      <c r="A368" s="5"/>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row>
    <row r="369" ht="15.75" customHeight="1">
      <c r="A369" s="5"/>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row>
    <row r="370" ht="15.75" customHeight="1">
      <c r="A370" s="5"/>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row>
    <row r="371" ht="15.75" customHeight="1">
      <c r="A371" s="5"/>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row>
    <row r="372" ht="15.75" customHeight="1">
      <c r="A372" s="5"/>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row>
    <row r="373" ht="15.75" customHeight="1">
      <c r="A373" s="5"/>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row>
    <row r="374" ht="15.75" customHeight="1">
      <c r="A374" s="5"/>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row>
    <row r="375" ht="15.75" customHeight="1">
      <c r="A375" s="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row>
    <row r="376" ht="15.75" customHeight="1">
      <c r="A376" s="5"/>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row>
    <row r="377" ht="15.75" customHeight="1">
      <c r="A377" s="5"/>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row>
    <row r="378" ht="15.75" customHeight="1">
      <c r="A378" s="5"/>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row>
    <row r="379" ht="15.75" customHeight="1">
      <c r="A379" s="5"/>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row>
    <row r="380" ht="15.75" customHeight="1">
      <c r="A380" s="5"/>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row>
    <row r="381" ht="15.75" customHeight="1">
      <c r="A381" s="5"/>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row>
    <row r="382" ht="15.75" customHeight="1">
      <c r="A382" s="5"/>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row>
    <row r="383" ht="15.75" customHeight="1">
      <c r="A383" s="5"/>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row>
    <row r="384" ht="15.75" customHeight="1">
      <c r="A384" s="5"/>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row>
    <row r="385" ht="15.75" customHeight="1">
      <c r="A385" s="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row>
    <row r="386" ht="15.75" customHeight="1">
      <c r="A386" s="5"/>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row>
    <row r="387" ht="15.75" customHeight="1">
      <c r="A387" s="5"/>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row>
    <row r="388" ht="15.75" customHeight="1">
      <c r="A388" s="5"/>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row>
    <row r="389" ht="15.75" customHeight="1">
      <c r="A389" s="5"/>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row>
    <row r="390" ht="15.75" customHeight="1">
      <c r="A390" s="5"/>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row>
    <row r="391" ht="15.75" customHeight="1">
      <c r="A391" s="5"/>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row>
    <row r="392" ht="15.75" customHeight="1">
      <c r="A392" s="5"/>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row>
    <row r="393" ht="15.75" customHeight="1">
      <c r="A393" s="5"/>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row>
    <row r="394" ht="15.75" customHeight="1">
      <c r="A394" s="5"/>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row>
    <row r="395" ht="15.75" customHeight="1">
      <c r="A395" s="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row>
    <row r="396" ht="15.75" customHeight="1">
      <c r="A396" s="5"/>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row>
    <row r="397" ht="15.75" customHeight="1">
      <c r="A397" s="5"/>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row>
    <row r="398" ht="15.75" customHeight="1">
      <c r="A398" s="5"/>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row>
    <row r="399" ht="15.75" customHeight="1">
      <c r="A399" s="5"/>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row>
    <row r="400" ht="15.75" customHeight="1">
      <c r="A400" s="5"/>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row>
    <row r="401" ht="15.75" customHeight="1">
      <c r="A401" s="5"/>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row>
    <row r="402" ht="15.75" customHeight="1">
      <c r="A402" s="5"/>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row>
    <row r="403" ht="15.75" customHeight="1">
      <c r="A403" s="5"/>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row>
    <row r="404" ht="15.75" customHeight="1">
      <c r="A404" s="5"/>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row>
    <row r="405" ht="15.75" customHeight="1">
      <c r="A405" s="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row>
    <row r="406" ht="15.75" customHeight="1">
      <c r="A406" s="5"/>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row>
    <row r="407" ht="15.75" customHeight="1">
      <c r="A407" s="5"/>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row>
    <row r="408" ht="15.75" customHeight="1">
      <c r="A408" s="5"/>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row>
    <row r="409" ht="15.75" customHeight="1">
      <c r="A409" s="5"/>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row>
    <row r="410" ht="15.75" customHeight="1">
      <c r="A410" s="5"/>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row>
    <row r="411" ht="15.75" customHeight="1">
      <c r="A411" s="5"/>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row>
    <row r="412" ht="15.75" customHeight="1">
      <c r="A412" s="5"/>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row>
    <row r="413" ht="15.75" customHeight="1">
      <c r="A413" s="5"/>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row>
    <row r="414" ht="15.75" customHeight="1">
      <c r="A414" s="5"/>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row>
    <row r="415" ht="15.75" customHeight="1">
      <c r="A415" s="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row>
    <row r="416" ht="15.75" customHeight="1">
      <c r="A416" s="5"/>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row>
    <row r="417" ht="15.75" customHeight="1">
      <c r="A417" s="5"/>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row>
    <row r="418" ht="15.75" customHeight="1">
      <c r="A418" s="5"/>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row>
    <row r="419" ht="15.75" customHeight="1">
      <c r="A419" s="5"/>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row>
    <row r="420" ht="15.75" customHeight="1">
      <c r="A420" s="5"/>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row>
    <row r="421" ht="15.75" customHeight="1">
      <c r="A421" s="5"/>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row>
    <row r="422" ht="15.75" customHeight="1">
      <c r="A422" s="5"/>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row>
    <row r="423" ht="15.75" customHeight="1">
      <c r="A423" s="5"/>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row>
    <row r="424" ht="15.75" customHeight="1">
      <c r="A424" s="5"/>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row>
    <row r="425" ht="15.75" customHeight="1">
      <c r="A425" s="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row>
    <row r="426" ht="15.75" customHeight="1">
      <c r="A426" s="5"/>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row>
    <row r="427" ht="15.75" customHeight="1">
      <c r="A427" s="5"/>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row>
    <row r="428" ht="15.75" customHeight="1">
      <c r="A428" s="5"/>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row>
    <row r="429" ht="15.75" customHeight="1">
      <c r="A429" s="5"/>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row>
    <row r="430" ht="15.75" customHeight="1">
      <c r="A430" s="5"/>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row>
    <row r="431" ht="15.75" customHeight="1">
      <c r="A431" s="5"/>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row>
    <row r="432" ht="15.75" customHeight="1">
      <c r="A432" s="5"/>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row>
    <row r="433" ht="15.75" customHeight="1">
      <c r="A433" s="5"/>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row>
    <row r="434" ht="15.75" customHeight="1">
      <c r="A434" s="5"/>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row>
    <row r="435" ht="15.75" customHeight="1">
      <c r="A435" s="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row>
    <row r="436" ht="15.75" customHeight="1">
      <c r="A436" s="5"/>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row>
    <row r="437" ht="15.75" customHeight="1">
      <c r="A437" s="5"/>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row>
    <row r="438" ht="15.75" customHeight="1">
      <c r="A438" s="5"/>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row>
    <row r="439" ht="15.75" customHeight="1">
      <c r="A439" s="5"/>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row>
    <row r="440" ht="15.75" customHeight="1">
      <c r="A440" s="5"/>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row>
    <row r="441" ht="15.75" customHeight="1">
      <c r="A441" s="5"/>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row>
    <row r="442" ht="15.75" customHeight="1">
      <c r="A442" s="5"/>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row>
    <row r="443" ht="15.75" customHeight="1">
      <c r="A443" s="5"/>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row>
    <row r="444" ht="15.75" customHeight="1">
      <c r="A444" s="5"/>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row>
    <row r="445" ht="15.75" customHeight="1">
      <c r="A445" s="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row>
    <row r="446" ht="15.75" customHeight="1">
      <c r="A446" s="5"/>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row>
    <row r="447" ht="15.75" customHeight="1">
      <c r="A447" s="5"/>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row>
    <row r="448" ht="15.75" customHeight="1">
      <c r="A448" s="5"/>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row>
    <row r="449" ht="15.75" customHeight="1">
      <c r="A449" s="5"/>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row>
    <row r="450" ht="15.75" customHeight="1">
      <c r="A450" s="5"/>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row>
    <row r="451" ht="15.75" customHeight="1">
      <c r="A451" s="5"/>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row>
    <row r="452" ht="15.75" customHeight="1">
      <c r="A452" s="5"/>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row>
    <row r="453" ht="15.75" customHeight="1">
      <c r="A453" s="5"/>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row>
    <row r="454" ht="15.75" customHeight="1">
      <c r="A454" s="5"/>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row>
    <row r="455" ht="15.75" customHeight="1">
      <c r="A455" s="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row>
    <row r="456" ht="15.75" customHeight="1">
      <c r="A456" s="5"/>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row>
    <row r="457" ht="15.75" customHeight="1">
      <c r="A457" s="5"/>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row>
    <row r="458" ht="15.75" customHeight="1">
      <c r="A458" s="5"/>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row>
    <row r="459" ht="15.75" customHeight="1">
      <c r="A459" s="5"/>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row>
    <row r="460" ht="15.75" customHeight="1">
      <c r="A460" s="5"/>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row>
    <row r="461" ht="15.75" customHeight="1">
      <c r="A461" s="5"/>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row>
    <row r="462" ht="15.75" customHeight="1">
      <c r="A462" s="5"/>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row>
    <row r="463" ht="15.75" customHeight="1">
      <c r="A463" s="5"/>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row>
    <row r="464" ht="15.75" customHeight="1">
      <c r="A464" s="5"/>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row>
    <row r="465" ht="15.75" customHeight="1">
      <c r="A465" s="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row>
    <row r="466" ht="15.75" customHeight="1">
      <c r="A466" s="5"/>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row>
    <row r="467" ht="15.75" customHeight="1">
      <c r="A467" s="5"/>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row>
    <row r="468" ht="15.75" customHeight="1">
      <c r="A468" s="5"/>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row>
    <row r="469" ht="15.75" customHeight="1">
      <c r="A469" s="5"/>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row>
    <row r="470" ht="15.75" customHeight="1">
      <c r="A470" s="5"/>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row>
    <row r="471" ht="15.75" customHeight="1">
      <c r="A471" s="5"/>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row>
    <row r="472" ht="15.75" customHeight="1">
      <c r="A472" s="5"/>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row>
    <row r="473" ht="15.75" customHeight="1">
      <c r="A473" s="5"/>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row>
    <row r="474" ht="15.75" customHeight="1">
      <c r="A474" s="5"/>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row>
    <row r="475" ht="15.75" customHeight="1">
      <c r="A475" s="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row>
    <row r="476" ht="15.75" customHeight="1">
      <c r="A476" s="5"/>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row>
    <row r="477" ht="15.75" customHeight="1">
      <c r="A477" s="5"/>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row>
    <row r="478" ht="15.75" customHeight="1">
      <c r="A478" s="5"/>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row>
    <row r="479" ht="15.75" customHeight="1">
      <c r="A479" s="5"/>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row>
    <row r="480" ht="15.75" customHeight="1">
      <c r="A480" s="5"/>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row>
    <row r="481" ht="15.75" customHeight="1">
      <c r="A481" s="5"/>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row>
    <row r="482" ht="15.75" customHeight="1">
      <c r="A482" s="5"/>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row>
    <row r="483" ht="15.75" customHeight="1">
      <c r="A483" s="5"/>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row>
    <row r="484" ht="15.75" customHeight="1">
      <c r="A484" s="5"/>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row>
    <row r="485" ht="15.75" customHeight="1">
      <c r="A485" s="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row>
    <row r="486" ht="15.75" customHeight="1">
      <c r="A486" s="5"/>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row>
    <row r="487" ht="15.75" customHeight="1">
      <c r="A487" s="5"/>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row>
    <row r="488" ht="15.75" customHeight="1">
      <c r="A488" s="5"/>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row>
    <row r="489" ht="15.75" customHeight="1">
      <c r="A489" s="5"/>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row>
    <row r="490" ht="15.75" customHeight="1">
      <c r="A490" s="5"/>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row>
    <row r="491" ht="15.75" customHeight="1">
      <c r="A491" s="5"/>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row>
    <row r="492" ht="15.75" customHeight="1">
      <c r="A492" s="5"/>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row>
    <row r="493" ht="15.75" customHeight="1">
      <c r="A493" s="5"/>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row>
    <row r="494" ht="15.75" customHeight="1">
      <c r="A494" s="5"/>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row>
    <row r="495" ht="15.75" customHeight="1">
      <c r="A495" s="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row>
    <row r="496" ht="15.75" customHeight="1">
      <c r="A496" s="5"/>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row>
    <row r="497" ht="15.75" customHeight="1">
      <c r="A497" s="5"/>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row>
    <row r="498" ht="15.75" customHeight="1">
      <c r="A498" s="5"/>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row>
    <row r="499" ht="15.75" customHeight="1">
      <c r="A499" s="5"/>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row>
    <row r="500" ht="15.75" customHeight="1">
      <c r="A500" s="5"/>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row>
    <row r="501" ht="15.75" customHeight="1">
      <c r="A501" s="5"/>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row>
    <row r="502" ht="15.75" customHeight="1">
      <c r="A502" s="5"/>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row>
    <row r="503" ht="15.75" customHeight="1">
      <c r="A503" s="5"/>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row>
    <row r="504" ht="15.75" customHeight="1">
      <c r="A504" s="5"/>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row>
    <row r="505" ht="15.75" customHeight="1">
      <c r="A505" s="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row>
    <row r="506" ht="15.75" customHeight="1">
      <c r="A506" s="5"/>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row>
    <row r="507" ht="15.75" customHeight="1">
      <c r="A507" s="5"/>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row>
    <row r="508" ht="15.75" customHeight="1">
      <c r="A508" s="5"/>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row>
    <row r="509" ht="15.75" customHeight="1">
      <c r="A509" s="5"/>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row>
    <row r="510" ht="15.75" customHeight="1">
      <c r="A510" s="5"/>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row>
    <row r="511" ht="15.75" customHeight="1">
      <c r="A511" s="5"/>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row>
    <row r="512" ht="15.75" customHeight="1">
      <c r="A512" s="5"/>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row>
    <row r="513" ht="15.75" customHeight="1">
      <c r="A513" s="5"/>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row>
    <row r="514" ht="15.75" customHeight="1">
      <c r="A514" s="5"/>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row>
    <row r="515" ht="15.75" customHeight="1">
      <c r="A515" s="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row>
    <row r="516" ht="15.75" customHeight="1">
      <c r="A516" s="5"/>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row>
    <row r="517" ht="15.75" customHeight="1">
      <c r="A517" s="5"/>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row>
    <row r="518" ht="15.75" customHeight="1">
      <c r="A518" s="5"/>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row>
    <row r="519" ht="15.75" customHeight="1">
      <c r="A519" s="5"/>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row>
    <row r="520" ht="15.75" customHeight="1">
      <c r="A520" s="5"/>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row>
    <row r="521" ht="15.75" customHeight="1">
      <c r="A521" s="5"/>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row>
    <row r="522" ht="15.75" customHeight="1">
      <c r="A522" s="5"/>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row>
    <row r="523" ht="15.75" customHeight="1">
      <c r="A523" s="5"/>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row>
    <row r="524" ht="15.75" customHeight="1">
      <c r="A524" s="5"/>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row>
    <row r="525" ht="15.75" customHeight="1">
      <c r="A525" s="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row>
    <row r="526" ht="15.75" customHeight="1">
      <c r="A526" s="5"/>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row>
    <row r="527" ht="15.75" customHeight="1">
      <c r="A527" s="5"/>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row>
    <row r="528" ht="15.75" customHeight="1">
      <c r="A528" s="5"/>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row>
    <row r="529" ht="15.75" customHeight="1">
      <c r="A529" s="5"/>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row>
    <row r="530" ht="15.75" customHeight="1">
      <c r="A530" s="5"/>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row>
    <row r="531" ht="15.75" customHeight="1">
      <c r="A531" s="5"/>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row>
    <row r="532" ht="15.75" customHeight="1">
      <c r="A532" s="5"/>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row>
    <row r="533" ht="15.75" customHeight="1">
      <c r="A533" s="5"/>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row>
    <row r="534" ht="15.75" customHeight="1">
      <c r="A534" s="5"/>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row>
    <row r="535" ht="15.75" customHeight="1">
      <c r="A535" s="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row>
    <row r="536" ht="15.75" customHeight="1">
      <c r="A536" s="5"/>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row>
    <row r="537" ht="15.75" customHeight="1">
      <c r="A537" s="5"/>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row>
    <row r="538" ht="15.75" customHeight="1">
      <c r="A538" s="5"/>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row>
    <row r="539" ht="15.75" customHeight="1">
      <c r="A539" s="5"/>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row>
    <row r="540" ht="15.75" customHeight="1">
      <c r="A540" s="5"/>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row>
    <row r="541" ht="15.75" customHeight="1">
      <c r="A541" s="5"/>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row>
    <row r="542" ht="15.75" customHeight="1">
      <c r="A542" s="5"/>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row>
    <row r="543" ht="15.75" customHeight="1">
      <c r="A543" s="5"/>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row>
    <row r="544" ht="15.75" customHeight="1">
      <c r="A544" s="5"/>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row>
    <row r="545" ht="15.75" customHeight="1">
      <c r="A545" s="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row>
    <row r="546" ht="15.75" customHeight="1">
      <c r="A546" s="5"/>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row>
    <row r="547" ht="15.75" customHeight="1">
      <c r="A547" s="5"/>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row>
    <row r="548" ht="15.75" customHeight="1">
      <c r="A548" s="5"/>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row>
    <row r="549" ht="15.75" customHeight="1">
      <c r="A549" s="5"/>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row>
    <row r="550" ht="15.75" customHeight="1">
      <c r="A550" s="5"/>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row>
    <row r="551" ht="15.75" customHeight="1">
      <c r="A551" s="5"/>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row>
    <row r="552" ht="15.75" customHeight="1">
      <c r="A552" s="5"/>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row>
    <row r="553" ht="15.75" customHeight="1">
      <c r="A553" s="5"/>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row>
    <row r="554" ht="15.75" customHeight="1">
      <c r="A554" s="5"/>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row>
    <row r="555" ht="15.75" customHeight="1">
      <c r="A555" s="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row>
    <row r="556" ht="15.75" customHeight="1">
      <c r="A556" s="5"/>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row>
    <row r="557" ht="15.75" customHeight="1">
      <c r="A557" s="5"/>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row>
    <row r="558" ht="15.75" customHeight="1">
      <c r="A558" s="5"/>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row>
    <row r="559" ht="15.75" customHeight="1">
      <c r="A559" s="5"/>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row>
    <row r="560" ht="15.75" customHeight="1">
      <c r="A560" s="5"/>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row>
    <row r="561" ht="15.75" customHeight="1">
      <c r="A561" s="5"/>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row>
    <row r="562" ht="15.75" customHeight="1">
      <c r="A562" s="5"/>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row>
    <row r="563" ht="15.75" customHeight="1">
      <c r="A563" s="5"/>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row>
    <row r="564" ht="15.75" customHeight="1">
      <c r="A564" s="5"/>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row>
    <row r="565" ht="15.75" customHeight="1">
      <c r="A565" s="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row>
    <row r="566" ht="15.75" customHeight="1">
      <c r="A566" s="5"/>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row>
    <row r="567" ht="15.75" customHeight="1">
      <c r="A567" s="5"/>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row>
    <row r="568" ht="15.75" customHeight="1">
      <c r="A568" s="5"/>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row>
    <row r="569" ht="15.75" customHeight="1">
      <c r="A569" s="5"/>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row>
    <row r="570" ht="15.75" customHeight="1">
      <c r="A570" s="5"/>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row>
    <row r="571" ht="15.75" customHeight="1">
      <c r="A571" s="5"/>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row>
    <row r="572" ht="15.75" customHeight="1">
      <c r="A572" s="5"/>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row>
    <row r="573" ht="15.75" customHeight="1">
      <c r="A573" s="5"/>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row>
    <row r="574" ht="15.75" customHeight="1">
      <c r="A574" s="5"/>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row>
    <row r="575" ht="15.75" customHeight="1">
      <c r="A575" s="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row>
    <row r="576" ht="15.75" customHeight="1">
      <c r="A576" s="5"/>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row>
    <row r="577" ht="15.75" customHeight="1">
      <c r="A577" s="5"/>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row>
    <row r="578" ht="15.75" customHeight="1">
      <c r="A578" s="5"/>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row>
    <row r="579" ht="15.75" customHeight="1">
      <c r="A579" s="5"/>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row>
    <row r="580" ht="15.75" customHeight="1">
      <c r="A580" s="5"/>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row>
    <row r="581" ht="15.75" customHeight="1">
      <c r="A581" s="5"/>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row>
    <row r="582" ht="15.75" customHeight="1">
      <c r="A582" s="5"/>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row>
    <row r="583" ht="15.75" customHeight="1">
      <c r="A583" s="5"/>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row>
    <row r="584" ht="15.75" customHeight="1">
      <c r="A584" s="5"/>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row>
    <row r="585" ht="15.75" customHeight="1">
      <c r="A585" s="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row>
    <row r="586" ht="15.75" customHeight="1">
      <c r="A586" s="5"/>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row>
    <row r="587" ht="15.75" customHeight="1">
      <c r="A587" s="5"/>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row>
    <row r="588" ht="15.75" customHeight="1">
      <c r="A588" s="5"/>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row>
    <row r="589" ht="15.75" customHeight="1">
      <c r="A589" s="5"/>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row>
    <row r="590" ht="15.75" customHeight="1">
      <c r="A590" s="5"/>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row>
    <row r="591" ht="15.75" customHeight="1">
      <c r="A591" s="5"/>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row>
    <row r="592" ht="15.75" customHeight="1">
      <c r="A592" s="5"/>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row>
    <row r="593" ht="15.75" customHeight="1">
      <c r="A593" s="5"/>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row>
    <row r="594" ht="15.75" customHeight="1">
      <c r="A594" s="5"/>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row>
    <row r="595" ht="15.75" customHeight="1">
      <c r="A595" s="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row>
    <row r="596" ht="15.75" customHeight="1">
      <c r="A596" s="5"/>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row>
    <row r="597" ht="15.75" customHeight="1">
      <c r="A597" s="5"/>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row>
    <row r="598" ht="15.75" customHeight="1">
      <c r="A598" s="5"/>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row>
    <row r="599" ht="15.75" customHeight="1">
      <c r="A599" s="5"/>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row>
    <row r="600" ht="15.75" customHeight="1">
      <c r="A600" s="5"/>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row>
    <row r="601" ht="15.75" customHeight="1">
      <c r="A601" s="5"/>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row>
    <row r="602" ht="15.75" customHeight="1">
      <c r="A602" s="5"/>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row>
    <row r="603" ht="15.75" customHeight="1">
      <c r="A603" s="5"/>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row>
    <row r="604" ht="15.75" customHeight="1">
      <c r="A604" s="5"/>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row>
    <row r="605" ht="15.75" customHeight="1">
      <c r="A605" s="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row>
    <row r="606" ht="15.75" customHeight="1">
      <c r="A606" s="5"/>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row>
    <row r="607" ht="15.75" customHeight="1">
      <c r="A607" s="5"/>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row>
    <row r="608" ht="15.75" customHeight="1">
      <c r="A608" s="5"/>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row>
    <row r="609" ht="15.75" customHeight="1">
      <c r="A609" s="5"/>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row>
    <row r="610" ht="15.75" customHeight="1">
      <c r="A610" s="5"/>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row>
    <row r="611" ht="15.75" customHeight="1">
      <c r="A611" s="5"/>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row>
    <row r="612" ht="15.75" customHeight="1">
      <c r="A612" s="5"/>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row>
    <row r="613" ht="15.75" customHeight="1">
      <c r="A613" s="5"/>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row>
    <row r="614" ht="15.75" customHeight="1">
      <c r="A614" s="5"/>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row>
    <row r="615" ht="15.75" customHeight="1">
      <c r="A615" s="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row>
    <row r="616" ht="15.75" customHeight="1">
      <c r="A616" s="5"/>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row>
    <row r="617" ht="15.75" customHeight="1">
      <c r="A617" s="5"/>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row>
    <row r="618" ht="15.75" customHeight="1">
      <c r="A618" s="5"/>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row>
    <row r="619" ht="15.75" customHeight="1">
      <c r="A619" s="5"/>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row>
    <row r="620" ht="15.75" customHeight="1">
      <c r="A620" s="5"/>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row>
    <row r="621" ht="15.75" customHeight="1">
      <c r="A621" s="5"/>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row>
    <row r="622" ht="15.75" customHeight="1">
      <c r="A622" s="5"/>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row>
    <row r="623" ht="15.75" customHeight="1">
      <c r="A623" s="5"/>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row>
    <row r="624" ht="15.75" customHeight="1">
      <c r="A624" s="5"/>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row>
    <row r="625" ht="15.75" customHeight="1">
      <c r="A625" s="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row>
    <row r="626" ht="15.75" customHeight="1">
      <c r="A626" s="5"/>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row>
    <row r="627" ht="15.75" customHeight="1">
      <c r="A627" s="5"/>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row>
    <row r="628" ht="15.75" customHeight="1">
      <c r="A628" s="5"/>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row>
    <row r="629" ht="15.75" customHeight="1">
      <c r="A629" s="5"/>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row>
    <row r="630" ht="15.75" customHeight="1">
      <c r="A630" s="5"/>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row>
    <row r="631" ht="15.75" customHeight="1">
      <c r="A631" s="5"/>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row>
    <row r="632" ht="15.75" customHeight="1">
      <c r="A632" s="5"/>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row>
    <row r="633" ht="15.75" customHeight="1">
      <c r="A633" s="5"/>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row>
    <row r="634" ht="15.75" customHeight="1">
      <c r="A634" s="5"/>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row>
    <row r="635" ht="15.75" customHeight="1">
      <c r="A635" s="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row>
    <row r="636" ht="15.75" customHeight="1">
      <c r="A636" s="5"/>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row>
    <row r="637" ht="15.75" customHeight="1">
      <c r="A637" s="5"/>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row>
    <row r="638" ht="15.75" customHeight="1">
      <c r="A638" s="5"/>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row>
    <row r="639" ht="15.75" customHeight="1">
      <c r="A639" s="5"/>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row>
    <row r="640" ht="15.75" customHeight="1">
      <c r="A640" s="5"/>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row>
    <row r="641" ht="15.75" customHeight="1">
      <c r="A641" s="5"/>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row>
    <row r="642" ht="15.75" customHeight="1">
      <c r="A642" s="5"/>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row>
    <row r="643" ht="15.75" customHeight="1">
      <c r="A643" s="5"/>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row>
    <row r="644" ht="15.75" customHeight="1">
      <c r="A644" s="5"/>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row>
    <row r="645" ht="15.75" customHeight="1">
      <c r="A645" s="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row>
    <row r="646" ht="15.75" customHeight="1">
      <c r="A646" s="5"/>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row>
    <row r="647" ht="15.75" customHeight="1">
      <c r="A647" s="5"/>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row>
    <row r="648" ht="15.75" customHeight="1">
      <c r="A648" s="5"/>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row>
    <row r="649" ht="15.75" customHeight="1">
      <c r="A649" s="5"/>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row>
    <row r="650" ht="15.75" customHeight="1">
      <c r="A650" s="5"/>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row>
    <row r="651" ht="15.75" customHeight="1">
      <c r="A651" s="5"/>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row>
    <row r="652" ht="15.75" customHeight="1">
      <c r="A652" s="5"/>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row>
    <row r="653" ht="15.75" customHeight="1">
      <c r="A653" s="5"/>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row>
    <row r="654" ht="15.75" customHeight="1">
      <c r="A654" s="5"/>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row>
    <row r="655" ht="15.75" customHeight="1">
      <c r="A655" s="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row>
    <row r="656" ht="15.75" customHeight="1">
      <c r="A656" s="5"/>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row>
    <row r="657" ht="15.75" customHeight="1">
      <c r="A657" s="5"/>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row>
    <row r="658" ht="15.75" customHeight="1">
      <c r="A658" s="5"/>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row>
    <row r="659" ht="15.75" customHeight="1">
      <c r="A659" s="5"/>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row>
    <row r="660" ht="15.75" customHeight="1">
      <c r="A660" s="5"/>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row>
    <row r="661" ht="15.75" customHeight="1">
      <c r="A661" s="5"/>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row>
    <row r="662" ht="15.75" customHeight="1">
      <c r="A662" s="5"/>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row>
    <row r="663" ht="15.75" customHeight="1">
      <c r="A663" s="5"/>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row>
    <row r="664" ht="15.75" customHeight="1">
      <c r="A664" s="5"/>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row>
    <row r="665" ht="15.75" customHeight="1">
      <c r="A665" s="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row>
    <row r="666" ht="15.75" customHeight="1">
      <c r="A666" s="5"/>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row>
    <row r="667" ht="15.75" customHeight="1">
      <c r="A667" s="5"/>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row>
    <row r="668" ht="15.75" customHeight="1">
      <c r="A668" s="5"/>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row>
    <row r="669" ht="15.75" customHeight="1">
      <c r="A669" s="5"/>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row>
    <row r="670" ht="15.75" customHeight="1">
      <c r="A670" s="5"/>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row>
    <row r="671" ht="15.75" customHeight="1">
      <c r="A671" s="5"/>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row>
    <row r="672" ht="15.75" customHeight="1">
      <c r="A672" s="5"/>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row>
    <row r="673" ht="15.75" customHeight="1">
      <c r="A673" s="5"/>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row>
    <row r="674" ht="15.75" customHeight="1">
      <c r="A674" s="5"/>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row>
    <row r="675" ht="15.75" customHeight="1">
      <c r="A675" s="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row>
    <row r="676" ht="15.75" customHeight="1">
      <c r="A676" s="5"/>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row>
    <row r="677" ht="15.75" customHeight="1">
      <c r="A677" s="5"/>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row>
    <row r="678" ht="15.75" customHeight="1">
      <c r="A678" s="5"/>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row>
    <row r="679" ht="15.75" customHeight="1">
      <c r="A679" s="5"/>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row>
    <row r="680" ht="15.75" customHeight="1">
      <c r="A680" s="5"/>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row>
    <row r="681" ht="15.75" customHeight="1">
      <c r="A681" s="5"/>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row>
    <row r="682" ht="15.75" customHeight="1">
      <c r="A682" s="5"/>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row>
    <row r="683" ht="15.75" customHeight="1">
      <c r="A683" s="5"/>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row>
    <row r="684" ht="15.75" customHeight="1">
      <c r="A684" s="5"/>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row>
    <row r="685" ht="15.75" customHeight="1">
      <c r="A685" s="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row>
    <row r="686" ht="15.75" customHeight="1">
      <c r="A686" s="5"/>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row>
    <row r="687" ht="15.75" customHeight="1">
      <c r="A687" s="5"/>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row>
    <row r="688" ht="15.75" customHeight="1">
      <c r="A688" s="5"/>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row>
    <row r="689" ht="15.75" customHeight="1">
      <c r="A689" s="5"/>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row>
    <row r="690" ht="15.75" customHeight="1">
      <c r="A690" s="5"/>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row>
    <row r="691" ht="15.75" customHeight="1">
      <c r="A691" s="5"/>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row>
    <row r="692" ht="15.75" customHeight="1">
      <c r="A692" s="5"/>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row>
    <row r="693" ht="15.75" customHeight="1">
      <c r="A693" s="5"/>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row>
    <row r="694" ht="15.75" customHeight="1">
      <c r="A694" s="5"/>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row>
    <row r="695" ht="15.75" customHeight="1">
      <c r="A695" s="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row>
    <row r="696" ht="15.75" customHeight="1">
      <c r="A696" s="5"/>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row>
    <row r="697" ht="15.75" customHeight="1">
      <c r="A697" s="5"/>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row>
    <row r="698" ht="15.75" customHeight="1">
      <c r="A698" s="5"/>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row>
    <row r="699" ht="15.75" customHeight="1">
      <c r="A699" s="5"/>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row>
    <row r="700" ht="15.75" customHeight="1">
      <c r="A700" s="5"/>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row>
    <row r="701" ht="15.75" customHeight="1">
      <c r="A701" s="5"/>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row>
    <row r="702" ht="15.75" customHeight="1">
      <c r="A702" s="5"/>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row>
    <row r="703" ht="15.75" customHeight="1">
      <c r="A703" s="5"/>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row>
    <row r="704" ht="15.75" customHeight="1">
      <c r="A704" s="5"/>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row>
    <row r="705" ht="15.75" customHeight="1">
      <c r="A705" s="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row>
    <row r="706" ht="15.75" customHeight="1">
      <c r="A706" s="5"/>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row>
    <row r="707" ht="15.75" customHeight="1">
      <c r="A707" s="5"/>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row>
    <row r="708" ht="15.75" customHeight="1">
      <c r="A708" s="5"/>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row>
    <row r="709" ht="15.75" customHeight="1">
      <c r="A709" s="5"/>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row>
    <row r="710" ht="15.75" customHeight="1">
      <c r="A710" s="5"/>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row>
    <row r="711" ht="15.75" customHeight="1">
      <c r="A711" s="5"/>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row>
    <row r="712" ht="15.75" customHeight="1">
      <c r="A712" s="5"/>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row>
    <row r="713" ht="15.75" customHeight="1">
      <c r="A713" s="5"/>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row>
    <row r="714" ht="15.75" customHeight="1">
      <c r="A714" s="5"/>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row>
    <row r="715" ht="15.75" customHeight="1">
      <c r="A715" s="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row>
    <row r="716" ht="15.75" customHeight="1">
      <c r="A716" s="5"/>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row>
    <row r="717" ht="15.75" customHeight="1">
      <c r="A717" s="5"/>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row>
    <row r="718" ht="15.75" customHeight="1">
      <c r="A718" s="5"/>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row>
    <row r="719" ht="15.75" customHeight="1">
      <c r="A719" s="5"/>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row>
    <row r="720" ht="15.75" customHeight="1">
      <c r="A720" s="5"/>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row>
    <row r="721" ht="15.75" customHeight="1">
      <c r="A721" s="5"/>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row>
    <row r="722" ht="15.75" customHeight="1">
      <c r="A722" s="5"/>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row>
    <row r="723" ht="15.75" customHeight="1">
      <c r="A723" s="5"/>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row>
    <row r="724" ht="15.75" customHeight="1">
      <c r="A724" s="5"/>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row>
    <row r="725" ht="15.75" customHeight="1">
      <c r="A725" s="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row>
    <row r="726" ht="15.75" customHeight="1">
      <c r="A726" s="5"/>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row>
    <row r="727" ht="15.75" customHeight="1">
      <c r="A727" s="5"/>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row>
    <row r="728" ht="15.75" customHeight="1">
      <c r="A728" s="5"/>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row>
    <row r="729" ht="15.75" customHeight="1">
      <c r="A729" s="5"/>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row>
    <row r="730" ht="15.75" customHeight="1">
      <c r="A730" s="5"/>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row>
    <row r="731" ht="15.75" customHeight="1">
      <c r="A731" s="5"/>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row>
    <row r="732" ht="15.75" customHeight="1">
      <c r="A732" s="5"/>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row>
    <row r="733" ht="15.75" customHeight="1">
      <c r="A733" s="5"/>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row>
    <row r="734" ht="15.75" customHeight="1">
      <c r="A734" s="5"/>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row>
    <row r="735" ht="15.75" customHeight="1">
      <c r="A735" s="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row>
    <row r="736" ht="15.75" customHeight="1">
      <c r="A736" s="5"/>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row>
    <row r="737" ht="15.75" customHeight="1">
      <c r="A737" s="5"/>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row>
    <row r="738" ht="15.75" customHeight="1">
      <c r="A738" s="5"/>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row>
    <row r="739" ht="15.75" customHeight="1">
      <c r="A739" s="5"/>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row>
    <row r="740" ht="15.75" customHeight="1">
      <c r="A740" s="5"/>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row>
    <row r="741" ht="15.75" customHeight="1">
      <c r="A741" s="5"/>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row>
    <row r="742" ht="15.75" customHeight="1">
      <c r="A742" s="5"/>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row>
    <row r="743" ht="15.75" customHeight="1">
      <c r="A743" s="5"/>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row>
    <row r="744" ht="15.75" customHeight="1">
      <c r="A744" s="5"/>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row>
    <row r="745" ht="15.75" customHeight="1">
      <c r="A745" s="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row>
    <row r="746" ht="15.75" customHeight="1">
      <c r="A746" s="5"/>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row>
    <row r="747" ht="15.75" customHeight="1">
      <c r="A747" s="5"/>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row>
    <row r="748" ht="15.75" customHeight="1">
      <c r="A748" s="5"/>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row>
    <row r="749" ht="15.75" customHeight="1">
      <c r="A749" s="5"/>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row>
    <row r="750" ht="15.75" customHeight="1">
      <c r="A750" s="5"/>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row>
    <row r="751" ht="15.75" customHeight="1">
      <c r="A751" s="5"/>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row>
    <row r="752" ht="15.75" customHeight="1">
      <c r="A752" s="5"/>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row>
    <row r="753" ht="15.75" customHeight="1">
      <c r="A753" s="5"/>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row>
    <row r="754" ht="15.75" customHeight="1">
      <c r="A754" s="5"/>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row>
    <row r="755" ht="15.75" customHeight="1">
      <c r="A755" s="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row>
    <row r="756" ht="15.75" customHeight="1">
      <c r="A756" s="5"/>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row>
    <row r="757" ht="15.75" customHeight="1">
      <c r="A757" s="5"/>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row>
    <row r="758" ht="15.75" customHeight="1">
      <c r="A758" s="5"/>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row>
    <row r="759" ht="15.75" customHeight="1">
      <c r="A759" s="5"/>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row>
    <row r="760" ht="15.75" customHeight="1">
      <c r="A760" s="5"/>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row>
    <row r="761" ht="15.75" customHeight="1">
      <c r="A761" s="5"/>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row>
    <row r="762" ht="15.75" customHeight="1">
      <c r="A762" s="5"/>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row>
    <row r="763" ht="15.75" customHeight="1">
      <c r="A763" s="5"/>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row>
    <row r="764" ht="15.75" customHeight="1">
      <c r="A764" s="5"/>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row>
    <row r="765" ht="15.75" customHeight="1">
      <c r="A765" s="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row>
    <row r="766" ht="15.75" customHeight="1">
      <c r="A766" s="5"/>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row>
    <row r="767" ht="15.75" customHeight="1">
      <c r="A767" s="5"/>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row>
    <row r="768" ht="15.75" customHeight="1">
      <c r="A768" s="5"/>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row>
    <row r="769" ht="15.75" customHeight="1">
      <c r="A769" s="5"/>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row>
    <row r="770" ht="15.75" customHeight="1">
      <c r="A770" s="5"/>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row>
    <row r="771" ht="15.75" customHeight="1">
      <c r="A771" s="5"/>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row>
    <row r="772" ht="15.75" customHeight="1">
      <c r="A772" s="5"/>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row>
    <row r="773" ht="15.75" customHeight="1">
      <c r="A773" s="5"/>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row>
    <row r="774" ht="15.75" customHeight="1">
      <c r="A774" s="5"/>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row>
    <row r="775" ht="15.75" customHeight="1">
      <c r="A775" s="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row>
    <row r="776" ht="15.75" customHeight="1">
      <c r="A776" s="5"/>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row>
    <row r="777" ht="15.75" customHeight="1">
      <c r="A777" s="5"/>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row>
    <row r="778" ht="15.75" customHeight="1">
      <c r="A778" s="5"/>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row>
    <row r="779" ht="15.75" customHeight="1">
      <c r="A779" s="5"/>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row>
    <row r="780" ht="15.75" customHeight="1">
      <c r="A780" s="5"/>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row>
    <row r="781" ht="15.75" customHeight="1">
      <c r="A781" s="5"/>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row>
    <row r="782" ht="15.75" customHeight="1">
      <c r="A782" s="5"/>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row>
    <row r="783" ht="15.75" customHeight="1">
      <c r="A783" s="5"/>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row>
    <row r="784" ht="15.75" customHeight="1">
      <c r="A784" s="5"/>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row>
    <row r="785" ht="15.75" customHeight="1">
      <c r="A785" s="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row>
    <row r="786" ht="15.75" customHeight="1">
      <c r="A786" s="5"/>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row>
    <row r="787" ht="15.75" customHeight="1">
      <c r="A787" s="5"/>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row>
    <row r="788" ht="15.75" customHeight="1">
      <c r="A788" s="5"/>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row>
    <row r="789" ht="15.75" customHeight="1">
      <c r="A789" s="5"/>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row>
    <row r="790" ht="15.75" customHeight="1">
      <c r="A790" s="5"/>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row>
    <row r="791" ht="15.75" customHeight="1">
      <c r="A791" s="5"/>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row>
    <row r="792" ht="15.75" customHeight="1">
      <c r="A792" s="5"/>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row>
    <row r="793" ht="15.75" customHeight="1">
      <c r="A793" s="5"/>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row>
    <row r="794" ht="15.75" customHeight="1">
      <c r="A794" s="5"/>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row>
    <row r="795" ht="15.75" customHeight="1">
      <c r="A795" s="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row>
    <row r="796" ht="15.75" customHeight="1">
      <c r="A796" s="5"/>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row>
    <row r="797" ht="15.75" customHeight="1">
      <c r="A797" s="5"/>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row>
    <row r="798" ht="15.75" customHeight="1">
      <c r="A798" s="5"/>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row>
    <row r="799" ht="15.75" customHeight="1">
      <c r="A799" s="5"/>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row>
    <row r="800" ht="15.75" customHeight="1">
      <c r="A800" s="5"/>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row>
    <row r="801" ht="15.75" customHeight="1">
      <c r="A801" s="5"/>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row>
    <row r="802" ht="15.75" customHeight="1">
      <c r="A802" s="5"/>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row>
    <row r="803" ht="15.75" customHeight="1">
      <c r="A803" s="5"/>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row>
    <row r="804" ht="15.75" customHeight="1">
      <c r="A804" s="5"/>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row>
    <row r="805" ht="15.75" customHeight="1">
      <c r="A805" s="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row>
    <row r="806" ht="15.75" customHeight="1">
      <c r="A806" s="5"/>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row>
    <row r="807" ht="15.75" customHeight="1">
      <c r="A807" s="5"/>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row>
    <row r="808" ht="15.75" customHeight="1">
      <c r="A808" s="5"/>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row>
    <row r="809" ht="15.75" customHeight="1">
      <c r="A809" s="5"/>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row>
    <row r="810" ht="15.75" customHeight="1">
      <c r="A810" s="5"/>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row>
    <row r="811" ht="15.75" customHeight="1">
      <c r="A811" s="5"/>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row>
    <row r="812" ht="15.75" customHeight="1">
      <c r="A812" s="5"/>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row>
    <row r="813" ht="15.75" customHeight="1">
      <c r="A813" s="5"/>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row>
    <row r="814" ht="15.75" customHeight="1">
      <c r="A814" s="5"/>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row>
    <row r="815" ht="15.75" customHeight="1">
      <c r="A815" s="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row>
    <row r="816" ht="15.75" customHeight="1">
      <c r="A816" s="5"/>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row>
    <row r="817" ht="15.75" customHeight="1">
      <c r="A817" s="5"/>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row>
    <row r="818" ht="15.75" customHeight="1">
      <c r="A818" s="5"/>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row>
    <row r="819" ht="15.75" customHeight="1">
      <c r="A819" s="5"/>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row>
    <row r="820" ht="15.75" customHeight="1">
      <c r="A820" s="5"/>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row>
    <row r="821" ht="15.75" customHeight="1">
      <c r="A821" s="5"/>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row>
    <row r="822" ht="15.75" customHeight="1">
      <c r="A822" s="5"/>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row>
    <row r="823" ht="15.75" customHeight="1">
      <c r="A823" s="5"/>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row>
    <row r="824" ht="15.75" customHeight="1">
      <c r="A824" s="5"/>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row>
    <row r="825" ht="15.75" customHeight="1">
      <c r="A825" s="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row>
    <row r="826" ht="15.75" customHeight="1">
      <c r="A826" s="5"/>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row>
    <row r="827" ht="15.75" customHeight="1">
      <c r="A827" s="5"/>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row>
    <row r="828" ht="15.75" customHeight="1">
      <c r="A828" s="5"/>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row>
    <row r="829" ht="15.75" customHeight="1">
      <c r="A829" s="5"/>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row>
    <row r="830" ht="15.75" customHeight="1">
      <c r="A830" s="5"/>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row>
    <row r="831" ht="15.75" customHeight="1">
      <c r="A831" s="5"/>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row>
    <row r="832" ht="15.75" customHeight="1">
      <c r="A832" s="5"/>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row>
    <row r="833" ht="15.75" customHeight="1">
      <c r="A833" s="5"/>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row>
    <row r="834" ht="15.75" customHeight="1">
      <c r="A834" s="5"/>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row>
    <row r="835" ht="15.75" customHeight="1">
      <c r="A835" s="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row>
    <row r="836" ht="15.75" customHeight="1">
      <c r="A836" s="5"/>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row>
    <row r="837" ht="15.75" customHeight="1">
      <c r="A837" s="5"/>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row>
    <row r="838" ht="15.75" customHeight="1">
      <c r="A838" s="5"/>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row>
    <row r="839" ht="15.75" customHeight="1">
      <c r="A839" s="5"/>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row>
    <row r="840" ht="15.75" customHeight="1">
      <c r="A840" s="5"/>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row>
    <row r="841" ht="15.75" customHeight="1">
      <c r="A841" s="5"/>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row>
    <row r="842" ht="15.75" customHeight="1">
      <c r="A842" s="5"/>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row>
    <row r="843" ht="15.75" customHeight="1">
      <c r="A843" s="5"/>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row>
    <row r="844" ht="15.75" customHeight="1">
      <c r="A844" s="5"/>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row>
    <row r="845" ht="15.75" customHeight="1">
      <c r="A845" s="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row>
    <row r="846" ht="15.75" customHeight="1">
      <c r="A846" s="5"/>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row>
    <row r="847" ht="15.75" customHeight="1">
      <c r="A847" s="5"/>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row>
    <row r="848" ht="15.75" customHeight="1">
      <c r="A848" s="5"/>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row>
    <row r="849" ht="15.75" customHeight="1">
      <c r="A849" s="5"/>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row>
    <row r="850" ht="15.75" customHeight="1">
      <c r="A850" s="5"/>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row>
    <row r="851" ht="15.75" customHeight="1">
      <c r="A851" s="5"/>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row>
    <row r="852" ht="15.75" customHeight="1">
      <c r="A852" s="5"/>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row>
    <row r="853" ht="15.75" customHeight="1">
      <c r="A853" s="5"/>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row>
    <row r="854" ht="15.75" customHeight="1">
      <c r="A854" s="5"/>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row>
    <row r="855" ht="15.75" customHeight="1">
      <c r="A855" s="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row>
    <row r="856" ht="15.75" customHeight="1">
      <c r="A856" s="5"/>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row>
    <row r="857" ht="15.75" customHeight="1">
      <c r="A857" s="5"/>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row>
    <row r="858" ht="15.75" customHeight="1">
      <c r="A858" s="5"/>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row>
    <row r="859" ht="15.75" customHeight="1">
      <c r="A859" s="5"/>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row>
    <row r="860" ht="15.75" customHeight="1">
      <c r="A860" s="5"/>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row>
    <row r="861" ht="15.75" customHeight="1">
      <c r="A861" s="5"/>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row>
    <row r="862" ht="15.75" customHeight="1">
      <c r="A862" s="5"/>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row>
    <row r="863" ht="15.75" customHeight="1">
      <c r="A863" s="5"/>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row>
    <row r="864" ht="15.75" customHeight="1">
      <c r="A864" s="5"/>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row>
    <row r="865" ht="15.75" customHeight="1">
      <c r="A865" s="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row>
    <row r="866" ht="15.75" customHeight="1">
      <c r="A866" s="5"/>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row>
    <row r="867" ht="15.75" customHeight="1">
      <c r="A867" s="5"/>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row>
    <row r="868" ht="15.75" customHeight="1">
      <c r="A868" s="5"/>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row>
    <row r="869" ht="15.75" customHeight="1">
      <c r="A869" s="5"/>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row>
    <row r="870" ht="15.75" customHeight="1">
      <c r="A870" s="5"/>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row>
    <row r="871" ht="15.75" customHeight="1">
      <c r="A871" s="5"/>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row>
    <row r="872" ht="15.75" customHeight="1">
      <c r="A872" s="5"/>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row>
    <row r="873" ht="15.75" customHeight="1">
      <c r="A873" s="5"/>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row>
    <row r="874" ht="15.75" customHeight="1">
      <c r="A874" s="5"/>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row>
    <row r="875" ht="15.75" customHeight="1">
      <c r="A875" s="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row>
    <row r="876" ht="15.75" customHeight="1">
      <c r="A876" s="5"/>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row>
    <row r="877" ht="15.75" customHeight="1">
      <c r="A877" s="5"/>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row>
    <row r="878" ht="15.75" customHeight="1">
      <c r="A878" s="5"/>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row>
    <row r="879" ht="15.75" customHeight="1">
      <c r="A879" s="5"/>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row>
    <row r="880" ht="15.75" customHeight="1">
      <c r="A880" s="5"/>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row>
    <row r="881" ht="15.75" customHeight="1">
      <c r="A881" s="5"/>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row>
    <row r="882" ht="15.75" customHeight="1">
      <c r="A882" s="5"/>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row>
    <row r="883" ht="15.75" customHeight="1">
      <c r="A883" s="5"/>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row>
    <row r="884" ht="15.75" customHeight="1">
      <c r="A884" s="5"/>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row>
    <row r="885" ht="15.75" customHeight="1">
      <c r="A885" s="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row>
    <row r="886" ht="15.75" customHeight="1">
      <c r="A886" s="5"/>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row>
    <row r="887" ht="15.75" customHeight="1">
      <c r="A887" s="5"/>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row>
    <row r="888" ht="15.75" customHeight="1">
      <c r="A888" s="5"/>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row>
    <row r="889" ht="15.75" customHeight="1">
      <c r="A889" s="5"/>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row>
    <row r="890" ht="15.75" customHeight="1">
      <c r="A890" s="5"/>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row>
    <row r="891" ht="15.75" customHeight="1">
      <c r="A891" s="5"/>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row>
    <row r="892" ht="15.75" customHeight="1">
      <c r="A892" s="5"/>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row>
    <row r="893" ht="15.75" customHeight="1">
      <c r="A893" s="5"/>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row>
    <row r="894" ht="15.75" customHeight="1">
      <c r="A894" s="5"/>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row>
    <row r="895" ht="15.75" customHeight="1">
      <c r="A895" s="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row>
    <row r="896" ht="15.75" customHeight="1">
      <c r="A896" s="5"/>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row>
    <row r="897" ht="15.75" customHeight="1">
      <c r="A897" s="5"/>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row>
    <row r="898" ht="15.75" customHeight="1">
      <c r="A898" s="5"/>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row>
    <row r="899" ht="15.75" customHeight="1">
      <c r="A899" s="5"/>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row>
    <row r="900" ht="15.75" customHeight="1">
      <c r="A900" s="5"/>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row>
    <row r="901" ht="15.75" customHeight="1">
      <c r="A901" s="5"/>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row>
    <row r="902" ht="15.75" customHeight="1">
      <c r="A902" s="5"/>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row>
    <row r="903" ht="15.75" customHeight="1">
      <c r="A903" s="5"/>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row>
    <row r="904" ht="15.75" customHeight="1">
      <c r="A904" s="5"/>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row>
    <row r="905" ht="15.75" customHeight="1">
      <c r="A905" s="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row>
    <row r="906" ht="15.75" customHeight="1">
      <c r="A906" s="5"/>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row>
    <row r="907" ht="15.75" customHeight="1">
      <c r="A907" s="5"/>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row>
    <row r="908" ht="15.75" customHeight="1">
      <c r="A908" s="5"/>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row>
    <row r="909" ht="15.75" customHeight="1">
      <c r="A909" s="5"/>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row>
    <row r="910" ht="15.75" customHeight="1">
      <c r="A910" s="5"/>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row>
    <row r="911" ht="15.75" customHeight="1">
      <c r="A911" s="5"/>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row>
    <row r="912" ht="15.75" customHeight="1">
      <c r="A912" s="5"/>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row>
    <row r="913" ht="15.75" customHeight="1">
      <c r="A913" s="5"/>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row>
    <row r="914" ht="15.75" customHeight="1">
      <c r="A914" s="5"/>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row>
    <row r="915" ht="15.75" customHeight="1">
      <c r="A915" s="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row>
    <row r="916" ht="15.75" customHeight="1">
      <c r="A916" s="5"/>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row>
    <row r="917" ht="15.75" customHeight="1">
      <c r="A917" s="5"/>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row>
    <row r="918" ht="15.75" customHeight="1">
      <c r="A918" s="5"/>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row>
    <row r="919" ht="15.75" customHeight="1">
      <c r="A919" s="5"/>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row>
    <row r="920" ht="15.75" customHeight="1">
      <c r="A920" s="5"/>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row>
    <row r="921" ht="15.75" customHeight="1">
      <c r="A921" s="5"/>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row>
    <row r="922" ht="15.75" customHeight="1">
      <c r="A922" s="5"/>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row>
    <row r="923" ht="15.75" customHeight="1">
      <c r="A923" s="5"/>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row>
    <row r="924" ht="15.75" customHeight="1">
      <c r="A924" s="5"/>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row>
    <row r="925" ht="15.75" customHeight="1">
      <c r="A925" s="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row>
    <row r="926" ht="15.75" customHeight="1">
      <c r="A926" s="5"/>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row>
    <row r="927" ht="15.75" customHeight="1">
      <c r="A927" s="5"/>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row>
    <row r="928" ht="15.75" customHeight="1">
      <c r="A928" s="5"/>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row>
    <row r="929" ht="15.75" customHeight="1">
      <c r="A929" s="5"/>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row>
    <row r="930" ht="15.75" customHeight="1">
      <c r="A930" s="5"/>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row>
    <row r="931" ht="15.75" customHeight="1">
      <c r="A931" s="5"/>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row>
    <row r="932" ht="15.75" customHeight="1">
      <c r="A932" s="5"/>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row>
    <row r="933" ht="15.75" customHeight="1">
      <c r="A933" s="5"/>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row>
    <row r="934" ht="15.75" customHeight="1">
      <c r="A934" s="5"/>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row>
    <row r="935" ht="15.75" customHeight="1">
      <c r="A935" s="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row>
    <row r="936" ht="15.75" customHeight="1">
      <c r="A936" s="5"/>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row>
    <row r="937" ht="15.75" customHeight="1">
      <c r="A937" s="5"/>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row>
    <row r="938" ht="15.75" customHeight="1">
      <c r="A938" s="5"/>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row>
    <row r="939" ht="15.75" customHeight="1">
      <c r="A939" s="5"/>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row>
    <row r="940" ht="15.75" customHeight="1">
      <c r="A940" s="5"/>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row>
    <row r="941" ht="15.75" customHeight="1">
      <c r="A941" s="5"/>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row>
    <row r="942" ht="15.75" customHeight="1">
      <c r="A942" s="5"/>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row>
    <row r="943" ht="15.75" customHeight="1">
      <c r="A943" s="5"/>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row>
    <row r="944" ht="15.75" customHeight="1">
      <c r="A944" s="5"/>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row>
    <row r="945" ht="15.75" customHeight="1">
      <c r="A945" s="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row>
    <row r="946" ht="15.75" customHeight="1">
      <c r="A946" s="5"/>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row>
    <row r="947" ht="15.75" customHeight="1">
      <c r="A947" s="5"/>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row>
    <row r="948" ht="15.75" customHeight="1">
      <c r="A948" s="5"/>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row>
    <row r="949" ht="15.75" customHeight="1">
      <c r="A949" s="5"/>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row>
    <row r="950" ht="15.75" customHeight="1">
      <c r="A950" s="5"/>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row>
    <row r="951" ht="15.75" customHeight="1">
      <c r="A951" s="5"/>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row>
    <row r="952" ht="15.75" customHeight="1">
      <c r="A952" s="5"/>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row>
    <row r="953" ht="15.75" customHeight="1">
      <c r="A953" s="5"/>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row>
    <row r="954" ht="15.75" customHeight="1">
      <c r="A954" s="5"/>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row>
    <row r="955" ht="15.75" customHeight="1">
      <c r="A955" s="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row>
    <row r="956" ht="15.75" customHeight="1">
      <c r="A956" s="5"/>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row>
    <row r="957" ht="15.75" customHeight="1">
      <c r="A957" s="5"/>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row>
    <row r="958" ht="15.75" customHeight="1">
      <c r="A958" s="5"/>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row>
    <row r="959" ht="15.75" customHeight="1">
      <c r="A959" s="5"/>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row>
    <row r="960" ht="15.75" customHeight="1">
      <c r="A960" s="5"/>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row>
    <row r="961" ht="15.75" customHeight="1">
      <c r="A961" s="5"/>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row>
    <row r="962" ht="15.75" customHeight="1">
      <c r="A962" s="5"/>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row>
    <row r="963" ht="15.75" customHeight="1">
      <c r="A963" s="5"/>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row>
    <row r="964" ht="15.75" customHeight="1">
      <c r="A964" s="5"/>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row>
    <row r="965" ht="15.75" customHeight="1">
      <c r="A965" s="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row>
    <row r="966" ht="15.75" customHeight="1">
      <c r="A966" s="5"/>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row>
    <row r="967" ht="15.75" customHeight="1">
      <c r="A967" s="5"/>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row>
    <row r="968" ht="15.75" customHeight="1">
      <c r="A968" s="5"/>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row>
    <row r="969" ht="15.75" customHeight="1">
      <c r="A969" s="5"/>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row>
    <row r="970" ht="15.75" customHeight="1">
      <c r="A970" s="5"/>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row>
    <row r="971" ht="15.75" customHeight="1">
      <c r="A971" s="5"/>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row>
    <row r="972" ht="15.75" customHeight="1">
      <c r="A972" s="5"/>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row>
    <row r="973" ht="15.75" customHeight="1">
      <c r="A973" s="5"/>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row>
    <row r="974" ht="15.75" customHeight="1">
      <c r="A974" s="5"/>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row>
    <row r="975" ht="15.75" customHeight="1">
      <c r="A975" s="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row>
    <row r="976" ht="15.75" customHeight="1">
      <c r="A976" s="5"/>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row>
    <row r="977" ht="15.75" customHeight="1">
      <c r="A977" s="5"/>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row>
    <row r="978" ht="15.75" customHeight="1">
      <c r="A978" s="5"/>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row>
    <row r="979" ht="15.75" customHeight="1">
      <c r="A979" s="5"/>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row>
    <row r="980" ht="15.75" customHeight="1">
      <c r="A980" s="5"/>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row>
    <row r="981" ht="15.75" customHeight="1">
      <c r="A981" s="5"/>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row>
    <row r="982" ht="15.75" customHeight="1">
      <c r="A982" s="5"/>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row>
    <row r="983" ht="15.75" customHeight="1">
      <c r="A983" s="5"/>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row>
    <row r="984" ht="15.75" customHeight="1">
      <c r="A984" s="5"/>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row>
    <row r="985" ht="15.75" customHeight="1">
      <c r="A985" s="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row>
    <row r="986" ht="15.75" customHeight="1">
      <c r="A986" s="5"/>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row>
    <row r="987" ht="15.75" customHeight="1">
      <c r="A987" s="5"/>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row>
    <row r="988" ht="15.75" customHeight="1">
      <c r="A988" s="5"/>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row>
    <row r="989" ht="15.75" customHeight="1">
      <c r="A989" s="5"/>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row>
    <row r="990" ht="15.75" customHeight="1">
      <c r="A990" s="5"/>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row>
    <row r="991" ht="15.75" customHeight="1">
      <c r="A991" s="5"/>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row>
    <row r="992" ht="15.75" customHeight="1">
      <c r="A992" s="5"/>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row>
    <row r="993" ht="15.75" customHeight="1">
      <c r="A993" s="5"/>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row>
    <row r="994" ht="15.75" customHeight="1">
      <c r="A994" s="5"/>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row>
    <row r="995" ht="15.75" customHeight="1">
      <c r="A995" s="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row>
    <row r="996" ht="15.75" customHeight="1">
      <c r="A996" s="5"/>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row>
    <row r="997" ht="15.75" customHeight="1">
      <c r="A997" s="5"/>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row>
    <row r="998" ht="15.75" customHeight="1">
      <c r="A998" s="5"/>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row>
    <row r="999" ht="15.75" customHeight="1">
      <c r="A999" s="5"/>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row>
    <row r="1000" ht="15.75" customHeight="1">
      <c r="A1000" s="5"/>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row>
    <row r="1001" ht="15.75" customHeight="1">
      <c r="A1001" s="5"/>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row>
    <row r="1002" ht="15.75" customHeight="1">
      <c r="A1002" s="5"/>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row>
    <row r="1003" ht="15.75" customHeight="1">
      <c r="A1003" s="5"/>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row>
    <row r="1004" ht="15.75" customHeight="1">
      <c r="A1004" s="5"/>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c r="BY1004" s="5"/>
    </row>
  </sheetData>
  <mergeCells count="105">
    <mergeCell ref="B2:BE4"/>
    <mergeCell ref="B5:C6"/>
    <mergeCell ref="D5:F5"/>
    <mergeCell ref="G5:I5"/>
    <mergeCell ref="J5:L5"/>
    <mergeCell ref="M5:O5"/>
    <mergeCell ref="P5:R5"/>
    <mergeCell ref="BC5:BE5"/>
    <mergeCell ref="C35:BE38"/>
    <mergeCell ref="Y41:AA41"/>
    <mergeCell ref="L42:M42"/>
    <mergeCell ref="R42:U42"/>
    <mergeCell ref="R43:U43"/>
    <mergeCell ref="W45:X45"/>
    <mergeCell ref="S5:U5"/>
    <mergeCell ref="V5:X5"/>
    <mergeCell ref="Y5:AA5"/>
    <mergeCell ref="AB5:AD5"/>
    <mergeCell ref="AE5:AG5"/>
    <mergeCell ref="AH5:AJ5"/>
    <mergeCell ref="AK5:AM5"/>
    <mergeCell ref="AN5:AP5"/>
    <mergeCell ref="AQ5:AS5"/>
    <mergeCell ref="AT5:AV5"/>
    <mergeCell ref="AW5:AY5"/>
    <mergeCell ref="AZ5:BB5"/>
    <mergeCell ref="BH5:BJ5"/>
    <mergeCell ref="Z44:AA44"/>
    <mergeCell ref="Z45:AA45"/>
    <mergeCell ref="BG45:BJ45"/>
    <mergeCell ref="W46:X46"/>
    <mergeCell ref="Z46:AA46"/>
    <mergeCell ref="W47:X47"/>
    <mergeCell ref="W48:X48"/>
    <mergeCell ref="Z72:AA72"/>
    <mergeCell ref="Z73:AA73"/>
    <mergeCell ref="Z65:AA65"/>
    <mergeCell ref="Z66:AA66"/>
    <mergeCell ref="Z67:AA67"/>
    <mergeCell ref="Z68:AA68"/>
    <mergeCell ref="Z69:AA69"/>
    <mergeCell ref="Z70:AA70"/>
    <mergeCell ref="Z71:AA71"/>
    <mergeCell ref="C95:D95"/>
    <mergeCell ref="C96:D96"/>
    <mergeCell ref="C97:D97"/>
    <mergeCell ref="C98:D98"/>
    <mergeCell ref="H96:I96"/>
    <mergeCell ref="H97:I97"/>
    <mergeCell ref="H98:I98"/>
    <mergeCell ref="H91:I91"/>
    <mergeCell ref="H92:I92"/>
    <mergeCell ref="C93:D93"/>
    <mergeCell ref="H93:I93"/>
    <mergeCell ref="C94:D94"/>
    <mergeCell ref="H94:I94"/>
    <mergeCell ref="H95:I95"/>
    <mergeCell ref="Z52:AA52"/>
    <mergeCell ref="Z53:AA53"/>
    <mergeCell ref="Z54:AA54"/>
    <mergeCell ref="D55:E55"/>
    <mergeCell ref="W55:X55"/>
    <mergeCell ref="Z55:AA55"/>
    <mergeCell ref="Z47:AA47"/>
    <mergeCell ref="Z48:AA48"/>
    <mergeCell ref="W49:X49"/>
    <mergeCell ref="Z49:AA49"/>
    <mergeCell ref="W50:X50"/>
    <mergeCell ref="Z50:AA50"/>
    <mergeCell ref="Z51:AA51"/>
    <mergeCell ref="W51:X51"/>
    <mergeCell ref="W52:X52"/>
    <mergeCell ref="W53:X53"/>
    <mergeCell ref="W54:X54"/>
    <mergeCell ref="W56:X56"/>
    <mergeCell ref="Z56:AA56"/>
    <mergeCell ref="Z57:AA57"/>
    <mergeCell ref="W57:X57"/>
    <mergeCell ref="W58:X58"/>
    <mergeCell ref="W59:X59"/>
    <mergeCell ref="W60:X60"/>
    <mergeCell ref="W61:X61"/>
    <mergeCell ref="W62:X62"/>
    <mergeCell ref="W63:X63"/>
    <mergeCell ref="Z58:AA58"/>
    <mergeCell ref="Z59:AA59"/>
    <mergeCell ref="Z60:AA60"/>
    <mergeCell ref="Z61:AA61"/>
    <mergeCell ref="Z62:AA62"/>
    <mergeCell ref="Z63:AA63"/>
    <mergeCell ref="Z64:AA64"/>
    <mergeCell ref="W64:X64"/>
    <mergeCell ref="W65:X65"/>
    <mergeCell ref="W66:X66"/>
    <mergeCell ref="W67:X67"/>
    <mergeCell ref="W68:X68"/>
    <mergeCell ref="W69:X69"/>
    <mergeCell ref="W70:X70"/>
    <mergeCell ref="W71:X71"/>
    <mergeCell ref="W72:X72"/>
    <mergeCell ref="W73:X73"/>
    <mergeCell ref="W74:X74"/>
    <mergeCell ref="Z74:AA74"/>
    <mergeCell ref="C91:D91"/>
    <mergeCell ref="C92:D92"/>
  </mergeCells>
  <dataValidations>
    <dataValidation type="list" allowBlank="1" showErrorMessage="1" sqref="BI7:BI44">
      <formula1>"RABI3,YASSINE"</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71"/>
    <col customWidth="1" min="2" max="2" width="20.29"/>
    <col customWidth="1" min="3" max="3" width="19.43"/>
    <col customWidth="1" min="4" max="4" width="22.14"/>
    <col customWidth="1" min="5" max="5" width="34.43"/>
    <col customWidth="1" min="6" max="6" width="1.71"/>
    <col customWidth="1" min="7" max="7" width="21.29"/>
    <col customWidth="1" min="8" max="8" width="21.57"/>
    <col customWidth="1" min="9" max="9" width="23.0"/>
    <col customWidth="1" min="10" max="10" width="34.71"/>
    <col customWidth="1" min="11" max="11" width="1.0"/>
    <col customWidth="1" min="12" max="12" width="20.86"/>
    <col customWidth="1" min="13" max="13" width="21.86"/>
    <col customWidth="1" min="14" max="14" width="31.71"/>
    <col customWidth="1" min="15" max="15" width="23.71"/>
    <col customWidth="1" min="16" max="16" width="32.71"/>
  </cols>
  <sheetData>
    <row r="1" ht="33.0" customHeight="1">
      <c r="A1" s="224"/>
      <c r="B1" s="225" t="s">
        <v>91</v>
      </c>
      <c r="C1" s="226"/>
      <c r="D1" s="226"/>
      <c r="E1" s="226"/>
      <c r="F1" s="226"/>
      <c r="G1" s="226"/>
      <c r="H1" s="226"/>
      <c r="I1" s="226"/>
      <c r="J1" s="226"/>
      <c r="K1" s="226"/>
      <c r="L1" s="226"/>
      <c r="M1" s="226"/>
      <c r="N1" s="226"/>
      <c r="O1" s="226"/>
      <c r="P1" s="227"/>
    </row>
    <row r="2" ht="21.75" customHeight="1">
      <c r="A2" s="224"/>
      <c r="B2" s="228" t="s">
        <v>92</v>
      </c>
      <c r="C2" s="229"/>
      <c r="D2" s="229"/>
      <c r="E2" s="229"/>
      <c r="F2" s="229"/>
      <c r="G2" s="229"/>
      <c r="H2" s="229"/>
      <c r="I2" s="229"/>
      <c r="J2" s="229"/>
      <c r="K2" s="230"/>
      <c r="L2" s="231" t="s">
        <v>93</v>
      </c>
      <c r="P2" s="15"/>
    </row>
    <row r="3" ht="21.0" customHeight="1">
      <c r="A3" s="224"/>
      <c r="B3" s="232" t="s">
        <v>94</v>
      </c>
      <c r="C3" s="146"/>
      <c r="D3" s="146"/>
      <c r="E3" s="147"/>
      <c r="F3" s="233"/>
      <c r="G3" s="234" t="s">
        <v>95</v>
      </c>
      <c r="H3" s="146"/>
      <c r="I3" s="146"/>
      <c r="J3" s="147"/>
      <c r="K3" s="230"/>
      <c r="L3" s="235">
        <v>46055.0</v>
      </c>
      <c r="M3" s="236">
        <v>2.0</v>
      </c>
      <c r="N3" s="236" t="s">
        <v>96</v>
      </c>
      <c r="O3" s="236" t="s">
        <v>97</v>
      </c>
      <c r="P3" s="237"/>
    </row>
    <row r="4" ht="21.0" customHeight="1">
      <c r="A4" s="224"/>
      <c r="B4" s="238">
        <v>46055.0</v>
      </c>
      <c r="C4" s="239">
        <v>400.0</v>
      </c>
      <c r="D4" s="239" t="s">
        <v>98</v>
      </c>
      <c r="E4" s="239" t="s">
        <v>99</v>
      </c>
      <c r="F4" s="233"/>
      <c r="G4" s="240"/>
      <c r="H4" s="241"/>
      <c r="I4" s="241"/>
      <c r="J4" s="241"/>
      <c r="K4" s="230"/>
      <c r="L4" s="242"/>
      <c r="M4" s="236">
        <v>10.0</v>
      </c>
      <c r="N4" s="236" t="s">
        <v>100</v>
      </c>
      <c r="O4" s="236" t="s">
        <v>101</v>
      </c>
      <c r="P4" s="237"/>
    </row>
    <row r="5" ht="21.0" customHeight="1">
      <c r="A5" s="224"/>
      <c r="B5" s="243"/>
      <c r="C5" s="239">
        <v>100.0</v>
      </c>
      <c r="D5" s="239" t="s">
        <v>102</v>
      </c>
      <c r="E5" s="239">
        <v>308.0</v>
      </c>
      <c r="F5" s="233"/>
      <c r="G5" s="240"/>
      <c r="H5" s="241"/>
      <c r="I5" s="241"/>
      <c r="J5" s="241"/>
      <c r="K5" s="230"/>
      <c r="L5" s="242"/>
      <c r="M5" s="236">
        <v>20.0</v>
      </c>
      <c r="N5" s="236" t="s">
        <v>100</v>
      </c>
      <c r="O5" s="236" t="s">
        <v>103</v>
      </c>
      <c r="P5" s="237"/>
    </row>
    <row r="6" ht="21.0" customHeight="1">
      <c r="A6" s="224"/>
      <c r="B6" s="243"/>
      <c r="C6" s="239">
        <v>100.0</v>
      </c>
      <c r="D6" s="239" t="s">
        <v>102</v>
      </c>
      <c r="E6" s="239" t="s">
        <v>104</v>
      </c>
      <c r="F6" s="233"/>
      <c r="G6" s="240"/>
      <c r="H6" s="241"/>
      <c r="I6" s="241"/>
      <c r="J6" s="241"/>
      <c r="K6" s="230"/>
      <c r="L6" s="242"/>
      <c r="M6" s="236">
        <v>200.0</v>
      </c>
      <c r="N6" s="236" t="s">
        <v>100</v>
      </c>
      <c r="O6" s="236" t="s">
        <v>105</v>
      </c>
      <c r="P6" s="236" t="s">
        <v>6</v>
      </c>
    </row>
    <row r="7" ht="21.0" customHeight="1">
      <c r="A7" s="224"/>
      <c r="B7" s="243"/>
      <c r="C7" s="244">
        <v>40.0</v>
      </c>
      <c r="D7" s="244" t="s">
        <v>106</v>
      </c>
      <c r="E7" s="244" t="s">
        <v>107</v>
      </c>
      <c r="F7" s="233"/>
      <c r="G7" s="240"/>
      <c r="H7" s="241"/>
      <c r="I7" s="241"/>
      <c r="J7" s="241"/>
      <c r="K7" s="230"/>
      <c r="L7" s="245">
        <v>46056.0</v>
      </c>
      <c r="M7" s="236">
        <v>20.0</v>
      </c>
      <c r="N7" s="236" t="s">
        <v>96</v>
      </c>
      <c r="O7" s="236" t="s">
        <v>108</v>
      </c>
      <c r="P7" s="246"/>
    </row>
    <row r="8" ht="21.0" customHeight="1">
      <c r="A8" s="224"/>
      <c r="B8" s="243"/>
      <c r="C8" s="244">
        <v>40.0</v>
      </c>
      <c r="D8" s="244" t="s">
        <v>106</v>
      </c>
      <c r="E8" s="244" t="s">
        <v>109</v>
      </c>
      <c r="F8" s="233"/>
      <c r="G8" s="240"/>
      <c r="H8" s="241"/>
      <c r="I8" s="241"/>
      <c r="J8" s="241"/>
      <c r="K8" s="230"/>
      <c r="L8" s="247"/>
      <c r="M8" s="236">
        <v>100.0</v>
      </c>
      <c r="N8" s="236" t="s">
        <v>96</v>
      </c>
      <c r="O8" s="236" t="s">
        <v>110</v>
      </c>
      <c r="P8" s="237"/>
    </row>
    <row r="9" ht="21.0" hidden="1" customHeight="1">
      <c r="A9" s="224"/>
      <c r="B9" s="243"/>
      <c r="C9" s="244">
        <v>80.0</v>
      </c>
      <c r="D9" s="244" t="s">
        <v>106</v>
      </c>
      <c r="E9" s="244" t="s">
        <v>111</v>
      </c>
      <c r="F9" s="233"/>
      <c r="G9" s="240"/>
      <c r="H9" s="241"/>
      <c r="I9" s="241"/>
      <c r="J9" s="241"/>
      <c r="K9" s="230"/>
      <c r="L9" s="242"/>
      <c r="M9" s="237"/>
      <c r="N9" s="237"/>
      <c r="O9" s="237"/>
      <c r="P9" s="237"/>
    </row>
    <row r="10" ht="21.0" hidden="1" customHeight="1">
      <c r="A10" s="224"/>
      <c r="B10" s="243"/>
      <c r="C10" s="248"/>
      <c r="D10" s="248"/>
      <c r="E10" s="248"/>
      <c r="F10" s="233"/>
      <c r="G10" s="240"/>
      <c r="H10" s="241"/>
      <c r="I10" s="241"/>
      <c r="J10" s="241"/>
      <c r="K10" s="230"/>
      <c r="L10" s="242"/>
      <c r="M10" s="237"/>
      <c r="N10" s="237"/>
      <c r="O10" s="237"/>
      <c r="P10" s="237"/>
    </row>
    <row r="11" ht="21.0" customHeight="1">
      <c r="A11" s="224"/>
      <c r="B11" s="243"/>
      <c r="C11" s="239">
        <v>80.0</v>
      </c>
      <c r="D11" s="239" t="s">
        <v>106</v>
      </c>
      <c r="E11" s="239" t="s">
        <v>112</v>
      </c>
      <c r="F11" s="233"/>
      <c r="G11" s="240"/>
      <c r="H11" s="241"/>
      <c r="I11" s="241"/>
      <c r="J11" s="241"/>
      <c r="K11" s="230"/>
      <c r="L11" s="242"/>
      <c r="M11" s="236">
        <v>400.0</v>
      </c>
      <c r="N11" s="236" t="s">
        <v>96</v>
      </c>
      <c r="O11" s="236" t="s">
        <v>113</v>
      </c>
      <c r="P11" s="237"/>
    </row>
    <row r="12" ht="21.0" customHeight="1">
      <c r="A12" s="224"/>
      <c r="B12" s="243"/>
      <c r="C12" s="239">
        <v>50.0</v>
      </c>
      <c r="D12" s="239" t="s">
        <v>106</v>
      </c>
      <c r="E12" s="239" t="s">
        <v>114</v>
      </c>
      <c r="F12" s="233"/>
      <c r="G12" s="240"/>
      <c r="H12" s="241"/>
      <c r="I12" s="241"/>
      <c r="J12" s="241"/>
      <c r="K12" s="230"/>
      <c r="L12" s="242"/>
      <c r="M12" s="236">
        <v>100.0</v>
      </c>
      <c r="N12" s="236" t="s">
        <v>115</v>
      </c>
      <c r="O12" s="236" t="s">
        <v>116</v>
      </c>
      <c r="P12" s="246"/>
    </row>
    <row r="13" ht="21.0" customHeight="1">
      <c r="A13" s="224"/>
      <c r="B13" s="243"/>
      <c r="C13" s="239">
        <v>30.0</v>
      </c>
      <c r="D13" s="239" t="s">
        <v>102</v>
      </c>
      <c r="E13" s="239" t="s">
        <v>117</v>
      </c>
      <c r="F13" s="233"/>
      <c r="G13" s="240"/>
      <c r="H13" s="241"/>
      <c r="I13" s="241"/>
      <c r="J13" s="241"/>
      <c r="K13" s="230"/>
      <c r="L13" s="247"/>
      <c r="M13" s="236">
        <v>314.0</v>
      </c>
      <c r="N13" s="236" t="s">
        <v>115</v>
      </c>
      <c r="O13" s="236" t="s">
        <v>118</v>
      </c>
      <c r="P13" s="237"/>
    </row>
    <row r="14" ht="21.0" customHeight="1">
      <c r="A14" s="224"/>
      <c r="B14" s="243"/>
      <c r="C14" s="239">
        <v>2700.0</v>
      </c>
      <c r="D14" s="239" t="s">
        <v>102</v>
      </c>
      <c r="E14" s="239" t="s">
        <v>119</v>
      </c>
      <c r="F14" s="233"/>
      <c r="G14" s="240"/>
      <c r="H14" s="241"/>
      <c r="I14" s="241"/>
      <c r="J14" s="241"/>
      <c r="K14" s="230"/>
      <c r="L14" s="242"/>
      <c r="M14" s="236">
        <v>230.0</v>
      </c>
      <c r="N14" s="236" t="s">
        <v>100</v>
      </c>
      <c r="O14" s="236" t="s">
        <v>120</v>
      </c>
      <c r="P14" s="237"/>
    </row>
    <row r="15" ht="21.0" customHeight="1">
      <c r="A15" s="224"/>
      <c r="B15" s="243"/>
      <c r="C15" s="239">
        <v>150.0</v>
      </c>
      <c r="D15" s="239" t="s">
        <v>102</v>
      </c>
      <c r="E15" s="249" t="s">
        <v>121</v>
      </c>
      <c r="F15" s="233"/>
      <c r="G15" s="240"/>
      <c r="H15" s="241"/>
      <c r="I15" s="241"/>
      <c r="J15" s="241"/>
      <c r="K15" s="230"/>
      <c r="L15" s="242"/>
      <c r="M15" s="236">
        <v>5.0</v>
      </c>
      <c r="N15" s="236" t="s">
        <v>96</v>
      </c>
      <c r="O15" s="236" t="s">
        <v>122</v>
      </c>
      <c r="P15" s="237"/>
    </row>
    <row r="16" ht="21.0" customHeight="1">
      <c r="A16" s="224"/>
      <c r="B16" s="238">
        <v>46056.0</v>
      </c>
      <c r="C16" s="239">
        <v>40.0</v>
      </c>
      <c r="D16" s="239" t="s">
        <v>106</v>
      </c>
      <c r="E16" s="239" t="s">
        <v>123</v>
      </c>
      <c r="F16" s="233"/>
      <c r="G16" s="240"/>
      <c r="H16" s="241"/>
      <c r="I16" s="241"/>
      <c r="J16" s="241"/>
      <c r="K16" s="230"/>
      <c r="L16" s="242"/>
      <c r="M16" s="236">
        <v>25.0</v>
      </c>
      <c r="N16" s="236" t="s">
        <v>100</v>
      </c>
      <c r="O16" s="236" t="s">
        <v>124</v>
      </c>
      <c r="P16" s="236" t="s">
        <v>125</v>
      </c>
    </row>
    <row r="17" ht="21.0" customHeight="1">
      <c r="A17" s="224"/>
      <c r="B17" s="243"/>
      <c r="C17" s="239">
        <v>100.0</v>
      </c>
      <c r="D17" s="239" t="s">
        <v>106</v>
      </c>
      <c r="E17" s="239" t="s">
        <v>126</v>
      </c>
      <c r="F17" s="233"/>
      <c r="G17" s="240"/>
      <c r="H17" s="241"/>
      <c r="I17" s="241"/>
      <c r="J17" s="241"/>
      <c r="K17" s="230"/>
      <c r="L17" s="245">
        <v>46057.0</v>
      </c>
      <c r="M17" s="236">
        <v>40.0</v>
      </c>
      <c r="N17" s="236" t="s">
        <v>96</v>
      </c>
      <c r="O17" s="236" t="s">
        <v>127</v>
      </c>
      <c r="P17" s="246"/>
    </row>
    <row r="18" ht="21.0" customHeight="1">
      <c r="A18" s="224"/>
      <c r="B18" s="243"/>
      <c r="C18" s="239">
        <v>20.0</v>
      </c>
      <c r="D18" s="239" t="s">
        <v>106</v>
      </c>
      <c r="E18" s="239" t="s">
        <v>114</v>
      </c>
      <c r="F18" s="233"/>
      <c r="G18" s="240"/>
      <c r="H18" s="241"/>
      <c r="I18" s="241"/>
      <c r="J18" s="241"/>
      <c r="K18" s="230"/>
      <c r="L18" s="247"/>
      <c r="M18" s="236">
        <v>20.0</v>
      </c>
      <c r="N18" s="236" t="s">
        <v>100</v>
      </c>
      <c r="O18" s="236" t="s">
        <v>101</v>
      </c>
      <c r="P18" s="236"/>
    </row>
    <row r="19" ht="21.0" customHeight="1">
      <c r="A19" s="224"/>
      <c r="B19" s="243"/>
      <c r="C19" s="239">
        <v>60.0</v>
      </c>
      <c r="D19" s="239" t="s">
        <v>102</v>
      </c>
      <c r="E19" s="239" t="s">
        <v>128</v>
      </c>
      <c r="F19" s="233"/>
      <c r="G19" s="240"/>
      <c r="H19" s="241"/>
      <c r="I19" s="241"/>
      <c r="J19" s="241"/>
      <c r="K19" s="230"/>
      <c r="L19" s="242"/>
      <c r="M19" s="236">
        <v>19.0</v>
      </c>
      <c r="N19" s="236" t="s">
        <v>96</v>
      </c>
      <c r="O19" s="236" t="s">
        <v>129</v>
      </c>
      <c r="P19" s="237"/>
    </row>
    <row r="20" ht="21.0" customHeight="1">
      <c r="A20" s="224"/>
      <c r="B20" s="243"/>
      <c r="C20" s="239">
        <v>60.0</v>
      </c>
      <c r="D20" s="239" t="s">
        <v>102</v>
      </c>
      <c r="E20" s="239" t="s">
        <v>130</v>
      </c>
      <c r="F20" s="233"/>
      <c r="G20" s="240"/>
      <c r="H20" s="241"/>
      <c r="I20" s="241"/>
      <c r="J20" s="241"/>
      <c r="K20" s="230"/>
      <c r="L20" s="242"/>
      <c r="M20" s="236">
        <v>20.0</v>
      </c>
      <c r="N20" s="236" t="s">
        <v>100</v>
      </c>
      <c r="O20" s="236" t="s">
        <v>101</v>
      </c>
      <c r="P20" s="237"/>
    </row>
    <row r="21" ht="21.0" customHeight="1">
      <c r="A21" s="224"/>
      <c r="B21" s="243"/>
      <c r="C21" s="239">
        <v>30.0</v>
      </c>
      <c r="D21" s="239" t="s">
        <v>106</v>
      </c>
      <c r="E21" s="239" t="s">
        <v>131</v>
      </c>
      <c r="F21" s="233"/>
      <c r="G21" s="240"/>
      <c r="H21" s="241"/>
      <c r="I21" s="241"/>
      <c r="J21" s="241"/>
      <c r="K21" s="230"/>
      <c r="L21" s="242"/>
      <c r="M21" s="236">
        <v>10.0</v>
      </c>
      <c r="N21" s="236" t="s">
        <v>100</v>
      </c>
      <c r="O21" s="236" t="s">
        <v>132</v>
      </c>
      <c r="P21" s="236" t="s">
        <v>133</v>
      </c>
    </row>
    <row r="22" ht="21.0" customHeight="1">
      <c r="A22" s="224"/>
      <c r="B22" s="243"/>
      <c r="C22" s="239">
        <v>700.0</v>
      </c>
      <c r="D22" s="239" t="s">
        <v>102</v>
      </c>
      <c r="E22" s="250" t="s">
        <v>120</v>
      </c>
      <c r="F22" s="233"/>
      <c r="G22" s="240"/>
      <c r="H22" s="241"/>
      <c r="I22" s="241"/>
      <c r="J22" s="241"/>
      <c r="K22" s="230"/>
      <c r="L22" s="242"/>
      <c r="M22" s="236">
        <v>45.0</v>
      </c>
      <c r="N22" s="236" t="s">
        <v>100</v>
      </c>
      <c r="O22" s="236" t="s">
        <v>101</v>
      </c>
      <c r="P22" s="246"/>
    </row>
    <row r="23" ht="21.0" customHeight="1">
      <c r="A23" s="224"/>
      <c r="B23" s="243"/>
      <c r="C23" s="239">
        <v>190.0</v>
      </c>
      <c r="D23" s="239" t="s">
        <v>98</v>
      </c>
      <c r="E23" s="251"/>
      <c r="F23" s="233"/>
      <c r="G23" s="240"/>
      <c r="H23" s="241"/>
      <c r="I23" s="241"/>
      <c r="J23" s="241"/>
      <c r="K23" s="230"/>
      <c r="L23" s="247"/>
      <c r="M23" s="236">
        <v>935.0</v>
      </c>
      <c r="N23" s="236" t="s">
        <v>96</v>
      </c>
      <c r="O23" s="236" t="s">
        <v>134</v>
      </c>
      <c r="P23" s="237"/>
    </row>
    <row r="24" ht="21.0" customHeight="1">
      <c r="A24" s="224"/>
      <c r="B24" s="243"/>
      <c r="C24" s="244">
        <v>510.0</v>
      </c>
      <c r="D24" s="244" t="s">
        <v>102</v>
      </c>
      <c r="E24" s="244" t="s">
        <v>135</v>
      </c>
      <c r="F24" s="233"/>
      <c r="G24" s="240"/>
      <c r="H24" s="241"/>
      <c r="I24" s="241"/>
      <c r="J24" s="241"/>
      <c r="K24" s="230"/>
      <c r="L24" s="242"/>
      <c r="M24" s="236">
        <v>10.0</v>
      </c>
      <c r="N24" s="236" t="s">
        <v>96</v>
      </c>
      <c r="O24" s="252" t="s">
        <v>136</v>
      </c>
      <c r="P24" s="237"/>
    </row>
    <row r="25" ht="21.0" customHeight="1">
      <c r="A25" s="224" t="s">
        <v>0</v>
      </c>
      <c r="B25" s="243"/>
      <c r="C25" s="244">
        <v>100.0</v>
      </c>
      <c r="D25" s="244" t="s">
        <v>102</v>
      </c>
      <c r="E25" s="244" t="s">
        <v>137</v>
      </c>
      <c r="F25" s="233"/>
      <c r="G25" s="240"/>
      <c r="H25" s="241"/>
      <c r="I25" s="241"/>
      <c r="J25" s="241"/>
      <c r="K25" s="230"/>
      <c r="L25" s="245">
        <v>46058.0</v>
      </c>
      <c r="M25" s="236">
        <v>20.0</v>
      </c>
      <c r="N25" s="236" t="s">
        <v>100</v>
      </c>
      <c r="O25" s="236" t="s">
        <v>138</v>
      </c>
      <c r="P25" s="237"/>
    </row>
    <row r="26" ht="21.0" customHeight="1">
      <c r="A26" s="224"/>
      <c r="B26" s="238">
        <v>46057.0</v>
      </c>
      <c r="C26" s="239">
        <v>80.0</v>
      </c>
      <c r="D26" s="239" t="s">
        <v>106</v>
      </c>
      <c r="E26" s="239">
        <v>3008.0</v>
      </c>
      <c r="F26" s="233"/>
      <c r="G26" s="240"/>
      <c r="H26" s="241"/>
      <c r="I26" s="241"/>
      <c r="J26" s="241"/>
      <c r="K26" s="230"/>
      <c r="L26" s="242"/>
      <c r="M26" s="236">
        <v>60.0</v>
      </c>
      <c r="N26" s="236" t="s">
        <v>100</v>
      </c>
      <c r="O26" s="236" t="s">
        <v>139</v>
      </c>
      <c r="P26" s="237"/>
    </row>
    <row r="27" ht="21.0" customHeight="1">
      <c r="A27" s="224"/>
      <c r="B27" s="243"/>
      <c r="C27" s="239">
        <v>40.0</v>
      </c>
      <c r="D27" s="239" t="s">
        <v>106</v>
      </c>
      <c r="E27" s="239" t="s">
        <v>140</v>
      </c>
      <c r="F27" s="233"/>
      <c r="G27" s="240"/>
      <c r="H27" s="241"/>
      <c r="I27" s="241"/>
      <c r="J27" s="241"/>
      <c r="K27" s="230"/>
      <c r="L27" s="242"/>
      <c r="M27" s="236">
        <v>50.0</v>
      </c>
      <c r="N27" s="236" t="s">
        <v>115</v>
      </c>
      <c r="O27" s="236" t="s">
        <v>88</v>
      </c>
      <c r="P27" s="236" t="s">
        <v>141</v>
      </c>
    </row>
    <row r="28" ht="21.0" customHeight="1">
      <c r="A28" s="224"/>
      <c r="B28" s="243"/>
      <c r="C28" s="239">
        <v>40.0</v>
      </c>
      <c r="D28" s="239" t="s">
        <v>106</v>
      </c>
      <c r="E28" s="239" t="s">
        <v>112</v>
      </c>
      <c r="F28" s="233"/>
      <c r="G28" s="240"/>
      <c r="H28" s="241"/>
      <c r="I28" s="241"/>
      <c r="J28" s="241"/>
      <c r="K28" s="230"/>
      <c r="L28" s="247"/>
      <c r="M28" s="236">
        <v>400.0</v>
      </c>
      <c r="N28" s="236" t="s">
        <v>115</v>
      </c>
      <c r="O28" s="236" t="s">
        <v>142</v>
      </c>
      <c r="P28" s="237"/>
    </row>
    <row r="29" ht="21.0" customHeight="1">
      <c r="A29" s="224"/>
      <c r="B29" s="243"/>
      <c r="C29" s="239">
        <v>40.0</v>
      </c>
      <c r="D29" s="239" t="s">
        <v>106</v>
      </c>
      <c r="E29" s="239" t="s">
        <v>143</v>
      </c>
      <c r="F29" s="233"/>
      <c r="G29" s="240"/>
      <c r="H29" s="241"/>
      <c r="I29" s="241"/>
      <c r="J29" s="241"/>
      <c r="K29" s="230"/>
      <c r="L29" s="242"/>
      <c r="M29" s="236">
        <v>20.0</v>
      </c>
      <c r="N29" s="236" t="s">
        <v>100</v>
      </c>
      <c r="O29" s="236" t="s">
        <v>144</v>
      </c>
      <c r="P29" s="237"/>
    </row>
    <row r="30" ht="21.75" customHeight="1">
      <c r="A30" s="224"/>
      <c r="B30" s="243"/>
      <c r="C30" s="239">
        <v>20.0</v>
      </c>
      <c r="D30" s="239" t="s">
        <v>106</v>
      </c>
      <c r="E30" s="239" t="s">
        <v>145</v>
      </c>
      <c r="F30" s="233"/>
      <c r="G30" s="240"/>
      <c r="H30" s="241"/>
      <c r="I30" s="241"/>
      <c r="J30" s="241"/>
      <c r="K30" s="230"/>
      <c r="L30" s="242"/>
      <c r="M30" s="236">
        <v>210.0</v>
      </c>
      <c r="N30" s="236" t="s">
        <v>96</v>
      </c>
      <c r="O30" s="236" t="s">
        <v>146</v>
      </c>
      <c r="P30" s="237"/>
    </row>
    <row r="31" ht="21.0" customHeight="1">
      <c r="A31" s="224"/>
      <c r="B31" s="243"/>
      <c r="C31" s="239">
        <v>40.0</v>
      </c>
      <c r="D31" s="239" t="s">
        <v>106</v>
      </c>
      <c r="E31" s="239" t="s">
        <v>147</v>
      </c>
      <c r="F31" s="233"/>
      <c r="G31" s="240"/>
      <c r="H31" s="241"/>
      <c r="I31" s="241"/>
      <c r="J31" s="241"/>
      <c r="K31" s="230"/>
      <c r="L31" s="245">
        <v>46059.0</v>
      </c>
      <c r="M31" s="236">
        <v>50.0</v>
      </c>
      <c r="N31" s="236" t="s">
        <v>100</v>
      </c>
      <c r="O31" s="236" t="s">
        <v>8</v>
      </c>
      <c r="P31" s="236" t="s">
        <v>148</v>
      </c>
    </row>
    <row r="32" ht="21.0" customHeight="1">
      <c r="A32" s="224"/>
      <c r="B32" s="243"/>
      <c r="C32" s="239">
        <v>60.0</v>
      </c>
      <c r="D32" s="239" t="s">
        <v>106</v>
      </c>
      <c r="E32" s="248"/>
      <c r="F32" s="233"/>
      <c r="G32" s="240"/>
      <c r="H32" s="241"/>
      <c r="I32" s="241"/>
      <c r="J32" s="241"/>
      <c r="K32" s="230"/>
      <c r="L32" s="242"/>
      <c r="M32" s="236">
        <v>100.0</v>
      </c>
      <c r="N32" s="236" t="s">
        <v>96</v>
      </c>
      <c r="O32" s="253" t="s">
        <v>149</v>
      </c>
      <c r="P32" s="236" t="s">
        <v>150</v>
      </c>
    </row>
    <row r="33" ht="21.0" customHeight="1">
      <c r="A33" s="224"/>
      <c r="B33" s="243"/>
      <c r="C33" s="239">
        <v>250.0</v>
      </c>
      <c r="D33" s="239" t="s">
        <v>102</v>
      </c>
      <c r="E33" s="250" t="s">
        <v>151</v>
      </c>
      <c r="F33" s="233"/>
      <c r="G33" s="240"/>
      <c r="H33" s="241"/>
      <c r="I33" s="241"/>
      <c r="J33" s="241"/>
      <c r="K33" s="230"/>
      <c r="L33" s="247"/>
      <c r="M33" s="236">
        <v>50.0</v>
      </c>
      <c r="N33" s="236"/>
      <c r="O33" s="236" t="s">
        <v>152</v>
      </c>
      <c r="P33" s="237"/>
    </row>
    <row r="34" ht="21.0" customHeight="1">
      <c r="A34" s="224"/>
      <c r="B34" s="243"/>
      <c r="C34" s="239">
        <v>540.0</v>
      </c>
      <c r="D34" s="239" t="s">
        <v>98</v>
      </c>
      <c r="E34" s="251"/>
      <c r="F34" s="233"/>
      <c r="G34" s="240"/>
      <c r="H34" s="241"/>
      <c r="I34" s="241"/>
      <c r="J34" s="241"/>
      <c r="K34" s="230"/>
      <c r="L34" s="242"/>
      <c r="M34" s="236">
        <v>20.0</v>
      </c>
      <c r="N34" s="236" t="s">
        <v>100</v>
      </c>
      <c r="O34" s="236" t="s">
        <v>148</v>
      </c>
      <c r="P34" s="237"/>
    </row>
    <row r="35" ht="21.0" customHeight="1">
      <c r="A35" s="224"/>
      <c r="B35" s="243"/>
      <c r="C35" s="239">
        <v>40.0</v>
      </c>
      <c r="D35" s="239" t="s">
        <v>106</v>
      </c>
      <c r="E35" s="239" t="s">
        <v>153</v>
      </c>
      <c r="F35" s="233"/>
      <c r="G35" s="240"/>
      <c r="H35" s="241"/>
      <c r="I35" s="241"/>
      <c r="J35" s="241"/>
      <c r="K35" s="230"/>
      <c r="L35" s="245">
        <v>46060.0</v>
      </c>
      <c r="M35" s="236">
        <v>240.0</v>
      </c>
      <c r="N35" s="236" t="s">
        <v>100</v>
      </c>
      <c r="O35" s="236" t="s">
        <v>154</v>
      </c>
      <c r="P35" s="237"/>
    </row>
    <row r="36" ht="21.0" customHeight="1">
      <c r="A36" s="224"/>
      <c r="B36" s="243"/>
      <c r="C36" s="239">
        <v>150.0</v>
      </c>
      <c r="D36" s="239" t="s">
        <v>102</v>
      </c>
      <c r="E36" s="250" t="s">
        <v>124</v>
      </c>
      <c r="F36" s="233"/>
      <c r="G36" s="240"/>
      <c r="H36" s="241"/>
      <c r="I36" s="241"/>
      <c r="J36" s="241"/>
      <c r="K36" s="230"/>
      <c r="L36" s="242"/>
      <c r="M36" s="236">
        <v>250.0</v>
      </c>
      <c r="N36" s="236" t="s">
        <v>100</v>
      </c>
      <c r="O36" s="236">
        <v>407.0</v>
      </c>
      <c r="P36" s="237"/>
    </row>
    <row r="37" ht="21.0" customHeight="1">
      <c r="A37" s="224"/>
      <c r="B37" s="243"/>
      <c r="C37" s="239">
        <v>25.0</v>
      </c>
      <c r="D37" s="239" t="s">
        <v>98</v>
      </c>
      <c r="E37" s="251"/>
      <c r="F37" s="233"/>
      <c r="G37" s="240"/>
      <c r="H37" s="241"/>
      <c r="I37" s="241"/>
      <c r="J37" s="241"/>
      <c r="K37" s="230"/>
      <c r="L37" s="242"/>
      <c r="M37" s="236">
        <v>20.0</v>
      </c>
      <c r="N37" s="236" t="s">
        <v>100</v>
      </c>
      <c r="O37" s="236" t="s">
        <v>155</v>
      </c>
      <c r="P37" s="246"/>
    </row>
    <row r="38" ht="21.0" customHeight="1">
      <c r="A38" s="224"/>
      <c r="B38" s="243"/>
      <c r="C38" s="239">
        <v>45.0</v>
      </c>
      <c r="D38" s="239" t="s">
        <v>98</v>
      </c>
      <c r="E38" s="250" t="s">
        <v>101</v>
      </c>
      <c r="F38" s="233"/>
      <c r="G38" s="240"/>
      <c r="H38" s="241"/>
      <c r="I38" s="241"/>
      <c r="J38" s="241"/>
      <c r="K38" s="230"/>
      <c r="L38" s="247"/>
      <c r="M38" s="236">
        <v>100.0</v>
      </c>
      <c r="N38" s="236" t="s">
        <v>96</v>
      </c>
      <c r="O38" s="236" t="s">
        <v>156</v>
      </c>
      <c r="P38" s="237"/>
    </row>
    <row r="39" ht="21.0" customHeight="1">
      <c r="A39" s="224"/>
      <c r="B39" s="243"/>
      <c r="C39" s="239">
        <v>150.0</v>
      </c>
      <c r="D39" s="239" t="s">
        <v>102</v>
      </c>
      <c r="E39" s="254"/>
      <c r="F39" s="233"/>
      <c r="G39" s="240"/>
      <c r="H39" s="241"/>
      <c r="I39" s="241"/>
      <c r="J39" s="241"/>
      <c r="K39" s="230"/>
      <c r="L39" s="255"/>
      <c r="M39" s="256"/>
      <c r="N39" s="256"/>
      <c r="O39" s="256"/>
      <c r="P39" s="256"/>
    </row>
    <row r="40" ht="21.0" customHeight="1">
      <c r="A40" s="224"/>
      <c r="B40" s="243"/>
      <c r="C40" s="239">
        <v>20.0</v>
      </c>
      <c r="D40" s="239" t="s">
        <v>157</v>
      </c>
      <c r="E40" s="251"/>
      <c r="F40" s="233"/>
      <c r="G40" s="240"/>
      <c r="H40" s="241"/>
      <c r="I40" s="241"/>
      <c r="J40" s="241"/>
      <c r="K40" s="230"/>
      <c r="L40" s="235">
        <v>46062.0</v>
      </c>
      <c r="M40" s="236">
        <v>50.0</v>
      </c>
      <c r="N40" s="236" t="s">
        <v>100</v>
      </c>
      <c r="O40" s="236" t="s">
        <v>144</v>
      </c>
      <c r="P40" s="237"/>
    </row>
    <row r="41" ht="21.0" customHeight="1">
      <c r="A41" s="224"/>
      <c r="B41" s="238">
        <v>46058.0</v>
      </c>
      <c r="C41" s="239">
        <v>30.0</v>
      </c>
      <c r="D41" s="239" t="s">
        <v>102</v>
      </c>
      <c r="E41" s="239" t="s">
        <v>158</v>
      </c>
      <c r="F41" s="233"/>
      <c r="G41" s="240"/>
      <c r="H41" s="241"/>
      <c r="I41" s="241"/>
      <c r="J41" s="241"/>
      <c r="K41" s="230"/>
      <c r="L41" s="242"/>
      <c r="M41" s="236">
        <v>8.0</v>
      </c>
      <c r="N41" s="236" t="s">
        <v>100</v>
      </c>
      <c r="O41" s="236" t="s">
        <v>159</v>
      </c>
      <c r="P41" s="237"/>
    </row>
    <row r="42" ht="21.0" customHeight="1">
      <c r="A42" s="224"/>
      <c r="B42" s="243"/>
      <c r="C42" s="239">
        <v>20.0</v>
      </c>
      <c r="D42" s="239" t="s">
        <v>106</v>
      </c>
      <c r="E42" s="239" t="s">
        <v>160</v>
      </c>
      <c r="F42" s="233"/>
      <c r="G42" s="240"/>
      <c r="H42" s="241"/>
      <c r="I42" s="241"/>
      <c r="J42" s="241"/>
      <c r="K42" s="230"/>
      <c r="L42" s="242"/>
      <c r="M42" s="236">
        <v>1850.0</v>
      </c>
      <c r="N42" s="236" t="s">
        <v>161</v>
      </c>
      <c r="O42" s="236" t="s">
        <v>162</v>
      </c>
      <c r="P42" s="237"/>
    </row>
    <row r="43" ht="21.0" customHeight="1">
      <c r="A43" s="224"/>
      <c r="B43" s="243"/>
      <c r="C43" s="239">
        <v>40.0</v>
      </c>
      <c r="D43" s="239" t="s">
        <v>106</v>
      </c>
      <c r="E43" s="248"/>
      <c r="F43" s="233"/>
      <c r="G43" s="240"/>
      <c r="H43" s="241"/>
      <c r="I43" s="241"/>
      <c r="J43" s="241"/>
      <c r="K43" s="230"/>
      <c r="L43" s="242"/>
      <c r="M43" s="236">
        <v>600.0</v>
      </c>
      <c r="N43" s="236" t="s">
        <v>100</v>
      </c>
      <c r="O43" s="236" t="s">
        <v>163</v>
      </c>
      <c r="P43" s="236" t="s">
        <v>164</v>
      </c>
    </row>
    <row r="44" ht="21.0" customHeight="1">
      <c r="A44" s="224"/>
      <c r="B44" s="243"/>
      <c r="C44" s="239">
        <v>40.0</v>
      </c>
      <c r="D44" s="239" t="s">
        <v>106</v>
      </c>
      <c r="E44" s="248"/>
      <c r="F44" s="233"/>
      <c r="G44" s="240"/>
      <c r="H44" s="241"/>
      <c r="I44" s="241"/>
      <c r="J44" s="241"/>
      <c r="K44" s="230"/>
      <c r="L44" s="242"/>
      <c r="M44" s="236">
        <v>20.0</v>
      </c>
      <c r="N44" s="236" t="s">
        <v>100</v>
      </c>
      <c r="O44" s="236" t="s">
        <v>165</v>
      </c>
      <c r="P44" s="236">
        <v>406.0</v>
      </c>
    </row>
    <row r="45" ht="21.0" customHeight="1">
      <c r="A45" s="224"/>
      <c r="B45" s="243"/>
      <c r="C45" s="239">
        <v>60.0</v>
      </c>
      <c r="D45" s="239" t="s">
        <v>102</v>
      </c>
      <c r="E45" s="250" t="s">
        <v>140</v>
      </c>
      <c r="F45" s="233"/>
      <c r="G45" s="240"/>
      <c r="H45" s="241"/>
      <c r="I45" s="241"/>
      <c r="J45" s="241"/>
      <c r="K45" s="230"/>
      <c r="L45" s="245">
        <v>46063.0</v>
      </c>
      <c r="M45" s="236">
        <v>1500.0</v>
      </c>
      <c r="N45" s="236" t="s">
        <v>115</v>
      </c>
      <c r="O45" s="236" t="s">
        <v>166</v>
      </c>
      <c r="P45" s="237"/>
    </row>
    <row r="46" ht="21.0" customHeight="1">
      <c r="A46" s="224"/>
      <c r="B46" s="243"/>
      <c r="C46" s="239">
        <v>12.0</v>
      </c>
      <c r="D46" s="239" t="s">
        <v>167</v>
      </c>
      <c r="E46" s="251"/>
      <c r="F46" s="233"/>
      <c r="G46" s="240"/>
      <c r="H46" s="241"/>
      <c r="I46" s="241"/>
      <c r="J46" s="241"/>
      <c r="K46" s="230"/>
      <c r="L46" s="242"/>
      <c r="M46" s="236">
        <v>1500.0</v>
      </c>
      <c r="N46" s="236" t="s">
        <v>115</v>
      </c>
      <c r="O46" s="236" t="s">
        <v>168</v>
      </c>
      <c r="P46" s="237"/>
    </row>
    <row r="47" ht="21.0" customHeight="1">
      <c r="A47" s="224"/>
      <c r="B47" s="243"/>
      <c r="C47" s="239">
        <v>40.0</v>
      </c>
      <c r="D47" s="239" t="s">
        <v>106</v>
      </c>
      <c r="E47" s="239" t="s">
        <v>169</v>
      </c>
      <c r="F47" s="233"/>
      <c r="G47" s="241"/>
      <c r="H47" s="241"/>
      <c r="I47" s="241"/>
      <c r="J47" s="241"/>
      <c r="K47" s="230"/>
      <c r="L47" s="242"/>
      <c r="M47" s="236">
        <v>1500.0</v>
      </c>
      <c r="N47" s="236" t="s">
        <v>115</v>
      </c>
      <c r="O47" s="236" t="s">
        <v>170</v>
      </c>
      <c r="P47" s="237"/>
    </row>
    <row r="48" ht="21.0" customHeight="1">
      <c r="A48" s="224"/>
      <c r="B48" s="243"/>
      <c r="C48" s="239">
        <v>200.0</v>
      </c>
      <c r="D48" s="239" t="s">
        <v>102</v>
      </c>
      <c r="E48" s="250" t="s">
        <v>101</v>
      </c>
      <c r="F48" s="233"/>
      <c r="G48" s="240"/>
      <c r="H48" s="241"/>
      <c r="I48" s="241"/>
      <c r="J48" s="241"/>
      <c r="K48" s="230"/>
      <c r="L48" s="242"/>
      <c r="M48" s="236">
        <v>250.0</v>
      </c>
      <c r="N48" s="236" t="s">
        <v>96</v>
      </c>
      <c r="O48" s="236" t="s">
        <v>171</v>
      </c>
      <c r="P48" s="237"/>
    </row>
    <row r="49" ht="19.5" customHeight="1">
      <c r="A49" s="257"/>
      <c r="B49" s="243"/>
      <c r="C49" s="239">
        <v>368.0</v>
      </c>
      <c r="D49" s="239" t="s">
        <v>98</v>
      </c>
      <c r="E49" s="251"/>
      <c r="F49" s="233"/>
      <c r="G49" s="240"/>
      <c r="H49" s="241"/>
      <c r="I49" s="241"/>
      <c r="J49" s="241"/>
      <c r="K49" s="230"/>
      <c r="L49" s="242"/>
      <c r="M49" s="236">
        <v>50.0</v>
      </c>
      <c r="N49" s="236" t="s">
        <v>96</v>
      </c>
      <c r="O49" s="236" t="s">
        <v>172</v>
      </c>
      <c r="P49" s="237"/>
    </row>
    <row r="50" ht="21.0" customHeight="1">
      <c r="A50" s="257"/>
      <c r="B50" s="243"/>
      <c r="C50" s="239">
        <v>80.0</v>
      </c>
      <c r="D50" s="239" t="s">
        <v>102</v>
      </c>
      <c r="E50" s="239" t="s">
        <v>173</v>
      </c>
      <c r="F50" s="233"/>
      <c r="G50" s="240"/>
      <c r="H50" s="241"/>
      <c r="I50" s="241"/>
      <c r="J50" s="241"/>
      <c r="K50" s="230"/>
      <c r="L50" s="242"/>
      <c r="M50" s="236"/>
      <c r="N50" s="236"/>
      <c r="O50" s="236"/>
      <c r="P50" s="237"/>
    </row>
    <row r="51" ht="21.0" customHeight="1">
      <c r="A51" s="224"/>
      <c r="B51" s="243"/>
      <c r="C51" s="239">
        <v>70.0</v>
      </c>
      <c r="D51" s="239" t="s">
        <v>106</v>
      </c>
      <c r="E51" s="239" t="s">
        <v>174</v>
      </c>
      <c r="F51" s="233"/>
      <c r="G51" s="240"/>
      <c r="H51" s="241"/>
      <c r="I51" s="241"/>
      <c r="J51" s="241"/>
      <c r="K51" s="230"/>
      <c r="L51" s="242"/>
      <c r="M51" s="236">
        <v>150.0</v>
      </c>
      <c r="N51" s="236" t="s">
        <v>100</v>
      </c>
      <c r="O51" s="236">
        <v>308.0</v>
      </c>
      <c r="P51" s="237"/>
    </row>
    <row r="52" ht="21.0" customHeight="1">
      <c r="A52" s="224"/>
      <c r="B52" s="243"/>
      <c r="C52" s="239">
        <v>70.0</v>
      </c>
      <c r="D52" s="239" t="s">
        <v>106</v>
      </c>
      <c r="E52" s="239" t="s">
        <v>128</v>
      </c>
      <c r="F52" s="233"/>
      <c r="G52" s="240"/>
      <c r="H52" s="241"/>
      <c r="I52" s="241"/>
      <c r="J52" s="241"/>
      <c r="K52" s="230"/>
      <c r="L52" s="242"/>
      <c r="M52" s="236">
        <v>1000.0</v>
      </c>
      <c r="N52" s="236" t="s">
        <v>96</v>
      </c>
      <c r="O52" s="236" t="s">
        <v>72</v>
      </c>
      <c r="P52" s="237"/>
    </row>
    <row r="53" ht="21.0" customHeight="1">
      <c r="A53" s="224"/>
      <c r="B53" s="243"/>
      <c r="C53" s="239">
        <v>70.0</v>
      </c>
      <c r="D53" s="239" t="s">
        <v>102</v>
      </c>
      <c r="E53" s="239" t="s">
        <v>175</v>
      </c>
      <c r="F53" s="233"/>
      <c r="G53" s="240"/>
      <c r="H53" s="241"/>
      <c r="I53" s="241"/>
      <c r="J53" s="241"/>
      <c r="K53" s="230"/>
      <c r="L53" s="242"/>
      <c r="M53" s="236">
        <v>60.0</v>
      </c>
      <c r="N53" s="236" t="s">
        <v>96</v>
      </c>
      <c r="O53" s="236" t="s">
        <v>176</v>
      </c>
      <c r="P53" s="237"/>
    </row>
    <row r="54" ht="21.0" customHeight="1">
      <c r="A54" s="224"/>
      <c r="B54" s="243"/>
      <c r="C54" s="239">
        <v>30.0</v>
      </c>
      <c r="D54" s="239" t="s">
        <v>102</v>
      </c>
      <c r="E54" s="239" t="s">
        <v>126</v>
      </c>
      <c r="F54" s="233"/>
      <c r="G54" s="240"/>
      <c r="H54" s="241"/>
      <c r="I54" s="241"/>
      <c r="J54" s="241"/>
      <c r="K54" s="230"/>
      <c r="L54" s="242"/>
      <c r="M54" s="236">
        <v>30.0</v>
      </c>
      <c r="N54" s="236" t="s">
        <v>100</v>
      </c>
      <c r="O54" s="236" t="s">
        <v>177</v>
      </c>
      <c r="P54" s="237"/>
    </row>
    <row r="55" ht="21.0" customHeight="1">
      <c r="A55" s="224"/>
      <c r="B55" s="238">
        <v>46059.0</v>
      </c>
      <c r="C55" s="239">
        <v>140.0</v>
      </c>
      <c r="D55" s="239" t="s">
        <v>106</v>
      </c>
      <c r="E55" s="239" t="s">
        <v>178</v>
      </c>
      <c r="F55" s="233"/>
      <c r="G55" s="240"/>
      <c r="H55" s="241"/>
      <c r="I55" s="241"/>
      <c r="J55" s="241"/>
      <c r="K55" s="230"/>
      <c r="L55" s="242"/>
      <c r="M55" s="236">
        <v>1.5</v>
      </c>
      <c r="N55" s="236" t="s">
        <v>96</v>
      </c>
      <c r="O55" s="236" t="s">
        <v>179</v>
      </c>
      <c r="P55" s="237"/>
    </row>
    <row r="56" ht="21.0" customHeight="1">
      <c r="A56" s="224"/>
      <c r="B56" s="243"/>
      <c r="C56" s="239">
        <v>170.0</v>
      </c>
      <c r="D56" s="239" t="s">
        <v>102</v>
      </c>
      <c r="E56" s="239" t="s">
        <v>180</v>
      </c>
      <c r="F56" s="233"/>
      <c r="G56" s="240"/>
      <c r="H56" s="241"/>
      <c r="I56" s="241"/>
      <c r="J56" s="241"/>
      <c r="K56" s="230"/>
      <c r="L56" s="242"/>
      <c r="M56" s="236">
        <v>10.0</v>
      </c>
      <c r="N56" s="236" t="s">
        <v>100</v>
      </c>
      <c r="O56" s="236">
        <v>508.0</v>
      </c>
      <c r="P56" s="236" t="s">
        <v>181</v>
      </c>
    </row>
    <row r="57" ht="21.0" customHeight="1">
      <c r="A57" s="224"/>
      <c r="B57" s="243"/>
      <c r="C57" s="239">
        <v>200.0</v>
      </c>
      <c r="D57" s="239" t="s">
        <v>98</v>
      </c>
      <c r="E57" s="239" t="s">
        <v>180</v>
      </c>
      <c r="F57" s="233"/>
      <c r="G57" s="240"/>
      <c r="H57" s="241"/>
      <c r="I57" s="241"/>
      <c r="J57" s="241"/>
      <c r="K57" s="230"/>
      <c r="L57" s="258"/>
      <c r="M57" s="259">
        <v>890.0</v>
      </c>
      <c r="N57" s="259" t="s">
        <v>100</v>
      </c>
      <c r="O57" s="259" t="s">
        <v>182</v>
      </c>
      <c r="P57" s="260" t="s">
        <v>183</v>
      </c>
    </row>
    <row r="58" ht="21.0" customHeight="1">
      <c r="A58" s="224"/>
      <c r="B58" s="243"/>
      <c r="C58" s="239">
        <v>365.0</v>
      </c>
      <c r="D58" s="239" t="s">
        <v>98</v>
      </c>
      <c r="E58" s="250" t="s">
        <v>184</v>
      </c>
      <c r="F58" s="233"/>
      <c r="G58" s="240"/>
      <c r="H58" s="241"/>
      <c r="I58" s="241"/>
      <c r="J58" s="241"/>
      <c r="K58" s="230"/>
      <c r="L58" s="258"/>
      <c r="M58" s="259">
        <v>65.0</v>
      </c>
      <c r="N58" s="259" t="s">
        <v>100</v>
      </c>
      <c r="O58" s="259" t="s">
        <v>185</v>
      </c>
      <c r="P58" s="254"/>
    </row>
    <row r="59" ht="21.0" customHeight="1">
      <c r="A59" s="224"/>
      <c r="B59" s="243"/>
      <c r="C59" s="239">
        <v>150.0</v>
      </c>
      <c r="D59" s="239" t="s">
        <v>102</v>
      </c>
      <c r="E59" s="251"/>
      <c r="F59" s="233"/>
      <c r="G59" s="240"/>
      <c r="H59" s="241"/>
      <c r="I59" s="241"/>
      <c r="J59" s="241"/>
      <c r="K59" s="230"/>
      <c r="L59" s="258"/>
      <c r="M59" s="259">
        <v>100.0</v>
      </c>
      <c r="N59" s="259" t="s">
        <v>100</v>
      </c>
      <c r="O59" s="259" t="s">
        <v>140</v>
      </c>
      <c r="P59" s="251"/>
    </row>
    <row r="60" ht="21.0" customHeight="1">
      <c r="A60" s="224"/>
      <c r="B60" s="243"/>
      <c r="C60" s="239">
        <v>40.0</v>
      </c>
      <c r="D60" s="239" t="s">
        <v>106</v>
      </c>
      <c r="E60" s="239" t="s">
        <v>186</v>
      </c>
      <c r="F60" s="233"/>
      <c r="G60" s="261"/>
      <c r="H60" s="241"/>
      <c r="I60" s="241"/>
      <c r="J60" s="241"/>
      <c r="K60" s="230"/>
      <c r="L60" s="247"/>
      <c r="M60" s="236">
        <v>200.0</v>
      </c>
      <c r="N60" s="236" t="s">
        <v>100</v>
      </c>
      <c r="O60" s="236">
        <v>508.0</v>
      </c>
      <c r="P60" s="237"/>
    </row>
    <row r="61" ht="24.75" customHeight="1">
      <c r="A61" s="224"/>
      <c r="B61" s="243"/>
      <c r="C61" s="239">
        <v>130.0</v>
      </c>
      <c r="D61" s="239" t="s">
        <v>102</v>
      </c>
      <c r="E61" s="239" t="s">
        <v>187</v>
      </c>
      <c r="F61" s="233"/>
      <c r="G61" s="240"/>
      <c r="H61" s="241"/>
      <c r="I61" s="241"/>
      <c r="J61" s="241"/>
      <c r="K61" s="230"/>
      <c r="L61" s="245">
        <v>46064.0</v>
      </c>
      <c r="M61" s="236">
        <v>50.0</v>
      </c>
      <c r="N61" s="236" t="s">
        <v>100</v>
      </c>
      <c r="O61" s="236" t="s">
        <v>188</v>
      </c>
      <c r="P61" s="237"/>
    </row>
    <row r="62" ht="21.0" customHeight="1">
      <c r="A62" s="262"/>
      <c r="B62" s="243"/>
      <c r="C62" s="239">
        <v>30.0</v>
      </c>
      <c r="D62" s="239" t="s">
        <v>106</v>
      </c>
      <c r="E62" s="239" t="s">
        <v>189</v>
      </c>
      <c r="F62" s="233"/>
      <c r="G62" s="240"/>
      <c r="H62" s="241"/>
      <c r="I62" s="241"/>
      <c r="J62" s="241"/>
      <c r="K62" s="230"/>
      <c r="L62" s="242"/>
      <c r="M62" s="236">
        <v>25.0</v>
      </c>
      <c r="N62" s="236" t="s">
        <v>100</v>
      </c>
      <c r="O62" s="236" t="s">
        <v>190</v>
      </c>
      <c r="P62" s="237"/>
    </row>
    <row r="63" ht="21.0" customHeight="1">
      <c r="A63" s="224"/>
      <c r="B63" s="238">
        <v>46060.0</v>
      </c>
      <c r="C63" s="239">
        <v>10.0</v>
      </c>
      <c r="D63" s="239" t="s">
        <v>106</v>
      </c>
      <c r="E63" s="239" t="s">
        <v>191</v>
      </c>
      <c r="F63" s="233"/>
      <c r="G63" s="240"/>
      <c r="H63" s="241"/>
      <c r="I63" s="241"/>
      <c r="J63" s="241"/>
      <c r="K63" s="230"/>
      <c r="L63" s="242"/>
      <c r="M63" s="236">
        <v>17.0</v>
      </c>
      <c r="N63" s="236" t="s">
        <v>96</v>
      </c>
      <c r="O63" s="236" t="s">
        <v>192</v>
      </c>
      <c r="P63" s="237"/>
    </row>
    <row r="64" ht="21.0" customHeight="1">
      <c r="A64" s="224"/>
      <c r="B64" s="243"/>
      <c r="C64" s="239">
        <v>20.0</v>
      </c>
      <c r="D64" s="239" t="s">
        <v>106</v>
      </c>
      <c r="E64" s="248"/>
      <c r="F64" s="233"/>
      <c r="G64" s="240"/>
      <c r="H64" s="241"/>
      <c r="I64" s="241"/>
      <c r="J64" s="241"/>
      <c r="K64" s="230"/>
      <c r="L64" s="242"/>
      <c r="M64" s="236">
        <v>20.0</v>
      </c>
      <c r="N64" s="236" t="s">
        <v>96</v>
      </c>
      <c r="O64" s="236" t="s">
        <v>193</v>
      </c>
      <c r="P64" s="237"/>
    </row>
    <row r="65" ht="21.0" customHeight="1">
      <c r="A65" s="224"/>
      <c r="B65" s="243"/>
      <c r="C65" s="239">
        <v>20.0</v>
      </c>
      <c r="D65" s="239" t="s">
        <v>106</v>
      </c>
      <c r="E65" s="239" t="s">
        <v>180</v>
      </c>
      <c r="F65" s="233"/>
      <c r="G65" s="240"/>
      <c r="H65" s="241"/>
      <c r="I65" s="241"/>
      <c r="J65" s="241"/>
      <c r="K65" s="230"/>
      <c r="L65" s="242"/>
      <c r="M65" s="236">
        <v>5.0</v>
      </c>
      <c r="N65" s="236" t="s">
        <v>96</v>
      </c>
      <c r="O65" s="236" t="s">
        <v>194</v>
      </c>
      <c r="P65" s="237"/>
    </row>
    <row r="66" ht="21.0" customHeight="1">
      <c r="A66" s="224"/>
      <c r="B66" s="243"/>
      <c r="C66" s="239">
        <v>20.0</v>
      </c>
      <c r="D66" s="239" t="s">
        <v>106</v>
      </c>
      <c r="E66" s="239" t="s">
        <v>195</v>
      </c>
      <c r="F66" s="233"/>
      <c r="G66" s="240"/>
      <c r="H66" s="241"/>
      <c r="I66" s="241"/>
      <c r="J66" s="241"/>
      <c r="K66" s="230"/>
      <c r="L66" s="242"/>
      <c r="M66" s="236">
        <v>100.0</v>
      </c>
      <c r="N66" s="236" t="s">
        <v>100</v>
      </c>
      <c r="O66" s="236" t="s">
        <v>144</v>
      </c>
      <c r="P66" s="237"/>
    </row>
    <row r="67" ht="21.0" customHeight="1">
      <c r="A67" s="224"/>
      <c r="B67" s="243"/>
      <c r="C67" s="239">
        <v>150.0</v>
      </c>
      <c r="D67" s="239" t="s">
        <v>106</v>
      </c>
      <c r="E67" s="250">
        <v>508.0</v>
      </c>
      <c r="F67" s="233"/>
      <c r="G67" s="240"/>
      <c r="H67" s="241"/>
      <c r="I67" s="241"/>
      <c r="J67" s="241"/>
      <c r="K67" s="230"/>
      <c r="L67" s="242"/>
      <c r="M67" s="236">
        <v>50.0</v>
      </c>
      <c r="N67" s="236" t="s">
        <v>100</v>
      </c>
      <c r="O67" s="236">
        <v>3008.0</v>
      </c>
      <c r="P67" s="237"/>
    </row>
    <row r="68" ht="21.0" customHeight="1">
      <c r="A68" s="224"/>
      <c r="B68" s="243"/>
      <c r="C68" s="239">
        <v>230.0</v>
      </c>
      <c r="D68" s="239" t="s">
        <v>98</v>
      </c>
      <c r="E68" s="251"/>
      <c r="F68" s="233"/>
      <c r="G68" s="240"/>
      <c r="H68" s="241"/>
      <c r="I68" s="241"/>
      <c r="J68" s="241"/>
      <c r="K68" s="230"/>
      <c r="L68" s="245">
        <v>46065.0</v>
      </c>
      <c r="M68" s="236">
        <v>300.0</v>
      </c>
      <c r="N68" s="236" t="s">
        <v>100</v>
      </c>
      <c r="O68" s="236">
        <v>308.0</v>
      </c>
      <c r="P68" s="237"/>
    </row>
    <row r="69" ht="21.0" customHeight="1">
      <c r="A69" s="224"/>
      <c r="B69" s="243"/>
      <c r="C69" s="239">
        <v>60.0</v>
      </c>
      <c r="D69" s="239" t="s">
        <v>102</v>
      </c>
      <c r="E69" s="239" t="s">
        <v>147</v>
      </c>
      <c r="F69" s="233"/>
      <c r="G69" s="240"/>
      <c r="H69" s="241"/>
      <c r="I69" s="241"/>
      <c r="J69" s="241"/>
      <c r="K69" s="230"/>
      <c r="L69" s="242"/>
      <c r="M69" s="236">
        <v>40.0</v>
      </c>
      <c r="N69" s="236" t="s">
        <v>100</v>
      </c>
      <c r="O69" s="236" t="s">
        <v>196</v>
      </c>
      <c r="P69" s="237"/>
    </row>
    <row r="70" ht="21.0" customHeight="1">
      <c r="A70" s="224"/>
      <c r="B70" s="243"/>
      <c r="C70" s="239">
        <v>50.0</v>
      </c>
      <c r="D70" s="239" t="s">
        <v>102</v>
      </c>
      <c r="E70" s="239" t="s">
        <v>162</v>
      </c>
      <c r="F70" s="233"/>
      <c r="G70" s="240"/>
      <c r="H70" s="241"/>
      <c r="I70" s="241"/>
      <c r="J70" s="241"/>
      <c r="K70" s="230"/>
      <c r="L70" s="242"/>
      <c r="M70" s="236">
        <v>30.0</v>
      </c>
      <c r="N70" s="236" t="s">
        <v>100</v>
      </c>
      <c r="O70" s="236" t="s">
        <v>197</v>
      </c>
      <c r="P70" s="237"/>
    </row>
    <row r="71" ht="21.0" customHeight="1">
      <c r="A71" s="224"/>
      <c r="B71" s="243"/>
      <c r="C71" s="239">
        <v>50.0</v>
      </c>
      <c r="D71" s="239" t="s">
        <v>102</v>
      </c>
      <c r="E71" s="239" t="s">
        <v>198</v>
      </c>
      <c r="F71" s="233"/>
      <c r="G71" s="240"/>
      <c r="H71" s="241"/>
      <c r="I71" s="241"/>
      <c r="J71" s="241"/>
      <c r="K71" s="230"/>
      <c r="L71" s="242"/>
      <c r="M71" s="236">
        <v>800.0</v>
      </c>
      <c r="N71" s="236" t="s">
        <v>96</v>
      </c>
      <c r="O71" s="236" t="s">
        <v>199</v>
      </c>
      <c r="P71" s="237"/>
    </row>
    <row r="72" ht="21.0" customHeight="1">
      <c r="A72" s="224"/>
      <c r="B72" s="243"/>
      <c r="C72" s="239">
        <v>50.0</v>
      </c>
      <c r="D72" s="239" t="s">
        <v>102</v>
      </c>
      <c r="E72" s="239" t="s">
        <v>148</v>
      </c>
      <c r="F72" s="233"/>
      <c r="G72" s="240"/>
      <c r="H72" s="241"/>
      <c r="I72" s="241"/>
      <c r="J72" s="241"/>
      <c r="K72" s="230"/>
      <c r="L72" s="242"/>
      <c r="M72" s="236">
        <v>192.0</v>
      </c>
      <c r="N72" s="236" t="s">
        <v>100</v>
      </c>
      <c r="O72" s="236" t="s">
        <v>200</v>
      </c>
      <c r="P72" s="237"/>
    </row>
    <row r="73" ht="21.0" customHeight="1">
      <c r="A73" s="224"/>
      <c r="B73" s="243"/>
      <c r="C73" s="239">
        <v>60.0</v>
      </c>
      <c r="D73" s="239" t="s">
        <v>106</v>
      </c>
      <c r="E73" s="239" t="s">
        <v>201</v>
      </c>
      <c r="F73" s="233"/>
      <c r="G73" s="240"/>
      <c r="H73" s="241"/>
      <c r="I73" s="241"/>
      <c r="J73" s="241"/>
      <c r="K73" s="230"/>
      <c r="L73" s="242"/>
      <c r="M73" s="236">
        <v>25.0</v>
      </c>
      <c r="N73" s="236" t="s">
        <v>100</v>
      </c>
      <c r="O73" s="236" t="s">
        <v>197</v>
      </c>
      <c r="P73" s="237"/>
    </row>
    <row r="74" ht="21.0" customHeight="1">
      <c r="A74" s="224"/>
      <c r="B74" s="255"/>
      <c r="C74" s="256"/>
      <c r="D74" s="256"/>
      <c r="E74" s="256"/>
      <c r="F74" s="233"/>
      <c r="G74" s="240"/>
      <c r="H74" s="241"/>
      <c r="I74" s="241"/>
      <c r="J74" s="241"/>
      <c r="K74" s="230"/>
      <c r="L74" s="242"/>
      <c r="M74" s="236">
        <v>20.0</v>
      </c>
      <c r="N74" s="236" t="s">
        <v>100</v>
      </c>
      <c r="O74" s="236" t="s">
        <v>198</v>
      </c>
      <c r="P74" s="237"/>
    </row>
    <row r="75" ht="21.0" customHeight="1">
      <c r="A75" s="224"/>
      <c r="B75" s="238">
        <v>46062.0</v>
      </c>
      <c r="C75" s="239">
        <v>160.0</v>
      </c>
      <c r="D75" s="239" t="s">
        <v>102</v>
      </c>
      <c r="E75" s="239" t="s">
        <v>151</v>
      </c>
      <c r="F75" s="233"/>
      <c r="G75" s="240"/>
      <c r="H75" s="241"/>
      <c r="I75" s="241"/>
      <c r="J75" s="241"/>
      <c r="K75" s="230"/>
      <c r="L75" s="242"/>
      <c r="M75" s="236"/>
      <c r="N75" s="236"/>
      <c r="O75" s="236"/>
      <c r="P75" s="237"/>
    </row>
    <row r="76" ht="21.0" customHeight="1">
      <c r="A76" s="224"/>
      <c r="B76" s="243"/>
      <c r="C76" s="239">
        <v>50.0</v>
      </c>
      <c r="D76" s="239" t="s">
        <v>106</v>
      </c>
      <c r="E76" s="239" t="s">
        <v>202</v>
      </c>
      <c r="F76" s="233"/>
      <c r="G76" s="240"/>
      <c r="H76" s="241"/>
      <c r="I76" s="241"/>
      <c r="J76" s="241"/>
      <c r="K76" s="230"/>
      <c r="L76" s="242"/>
      <c r="M76" s="236">
        <v>20.0</v>
      </c>
      <c r="N76" s="236" t="s">
        <v>96</v>
      </c>
      <c r="O76" s="236" t="s">
        <v>203</v>
      </c>
      <c r="P76" s="237"/>
    </row>
    <row r="77" ht="21.0" customHeight="1">
      <c r="A77" s="224"/>
      <c r="B77" s="238"/>
      <c r="C77" s="239">
        <v>50.0</v>
      </c>
      <c r="D77" s="239" t="s">
        <v>106</v>
      </c>
      <c r="E77" s="239" t="s">
        <v>204</v>
      </c>
      <c r="F77" s="233"/>
      <c r="G77" s="240"/>
      <c r="H77" s="241"/>
      <c r="I77" s="241"/>
      <c r="J77" s="241"/>
      <c r="K77" s="230"/>
      <c r="L77" s="242"/>
      <c r="M77" s="236"/>
      <c r="N77" s="236"/>
      <c r="O77" s="236"/>
      <c r="P77" s="237"/>
    </row>
    <row r="78" ht="21.0" customHeight="1">
      <c r="A78" s="224"/>
      <c r="B78" s="243"/>
      <c r="C78" s="239">
        <v>490.0</v>
      </c>
      <c r="D78" s="239" t="s">
        <v>98</v>
      </c>
      <c r="E78" s="239"/>
      <c r="F78" s="233"/>
      <c r="G78" s="240"/>
      <c r="H78" s="241"/>
      <c r="I78" s="241"/>
      <c r="J78" s="241"/>
      <c r="K78" s="230"/>
      <c r="L78" s="242"/>
      <c r="M78" s="236">
        <v>2890.0</v>
      </c>
      <c r="N78" s="236" t="s">
        <v>115</v>
      </c>
      <c r="O78" s="236">
        <v>508.0</v>
      </c>
      <c r="P78" s="246"/>
    </row>
    <row r="79" ht="21.0" customHeight="1">
      <c r="A79" s="224"/>
      <c r="B79" s="243"/>
      <c r="C79" s="239">
        <v>60.0</v>
      </c>
      <c r="D79" s="239" t="s">
        <v>106</v>
      </c>
      <c r="E79" s="239" t="s">
        <v>128</v>
      </c>
      <c r="F79" s="233"/>
      <c r="G79" s="240"/>
      <c r="H79" s="241"/>
      <c r="I79" s="241"/>
      <c r="J79" s="241"/>
      <c r="K79" s="230"/>
      <c r="L79" s="247"/>
      <c r="M79" s="236">
        <v>200.0</v>
      </c>
      <c r="N79" s="236" t="s">
        <v>100</v>
      </c>
      <c r="O79" s="236">
        <v>508.0</v>
      </c>
      <c r="P79" s="236" t="s">
        <v>205</v>
      </c>
    </row>
    <row r="80" ht="21.0" customHeight="1">
      <c r="A80" s="224"/>
      <c r="B80" s="243"/>
      <c r="C80" s="239">
        <v>30.0</v>
      </c>
      <c r="D80" s="239" t="s">
        <v>106</v>
      </c>
      <c r="E80" s="239" t="s">
        <v>206</v>
      </c>
      <c r="F80" s="233"/>
      <c r="G80" s="240"/>
      <c r="H80" s="241"/>
      <c r="I80" s="241"/>
      <c r="J80" s="241"/>
      <c r="K80" s="230"/>
      <c r="L80" s="258"/>
      <c r="M80" s="259">
        <v>2500.0</v>
      </c>
      <c r="N80" s="259" t="s">
        <v>207</v>
      </c>
      <c r="O80" s="263" t="s">
        <v>208</v>
      </c>
      <c r="P80" s="264"/>
    </row>
    <row r="81" ht="21.0" customHeight="1">
      <c r="A81" s="224"/>
      <c r="B81" s="243"/>
      <c r="C81" s="239">
        <v>200.0</v>
      </c>
      <c r="D81" s="239" t="s">
        <v>102</v>
      </c>
      <c r="E81" s="239" t="s">
        <v>151</v>
      </c>
      <c r="F81" s="233"/>
      <c r="G81" s="240"/>
      <c r="H81" s="241"/>
      <c r="I81" s="241"/>
      <c r="J81" s="241"/>
      <c r="K81" s="230"/>
      <c r="L81" s="258"/>
      <c r="M81" s="259">
        <v>70.0</v>
      </c>
      <c r="N81" s="259" t="s">
        <v>115</v>
      </c>
      <c r="O81" s="259" t="s">
        <v>209</v>
      </c>
      <c r="P81" s="264"/>
    </row>
    <row r="82" ht="21.0" customHeight="1">
      <c r="A82" s="224"/>
      <c r="B82" s="243"/>
      <c r="C82" s="239">
        <v>40.0</v>
      </c>
      <c r="D82" s="239" t="s">
        <v>106</v>
      </c>
      <c r="E82" s="239" t="s">
        <v>210</v>
      </c>
      <c r="F82" s="233"/>
      <c r="G82" s="240"/>
      <c r="H82" s="241"/>
      <c r="I82" s="241"/>
      <c r="J82" s="241"/>
      <c r="K82" s="230"/>
      <c r="L82" s="242"/>
      <c r="M82" s="236">
        <v>20.0</v>
      </c>
      <c r="N82" s="236" t="s">
        <v>96</v>
      </c>
      <c r="O82" s="236" t="s">
        <v>211</v>
      </c>
      <c r="P82" s="237"/>
    </row>
    <row r="83" ht="21.0" customHeight="1">
      <c r="A83" s="224"/>
      <c r="B83" s="243"/>
      <c r="C83" s="239">
        <v>70.0</v>
      </c>
      <c r="D83" s="239" t="s">
        <v>102</v>
      </c>
      <c r="E83" s="239" t="s">
        <v>212</v>
      </c>
      <c r="F83" s="233"/>
      <c r="G83" s="240"/>
      <c r="H83" s="241"/>
      <c r="I83" s="241"/>
      <c r="J83" s="241"/>
      <c r="K83" s="230"/>
      <c r="L83" s="242"/>
      <c r="M83" s="236">
        <v>20.0</v>
      </c>
      <c r="N83" s="236" t="s">
        <v>100</v>
      </c>
      <c r="O83" s="236" t="s">
        <v>182</v>
      </c>
      <c r="P83" s="246"/>
    </row>
    <row r="84" ht="21.0" customHeight="1">
      <c r="A84" s="224"/>
      <c r="B84" s="243"/>
      <c r="C84" s="239">
        <v>40.0</v>
      </c>
      <c r="D84" s="239" t="s">
        <v>102</v>
      </c>
      <c r="E84" s="239" t="s">
        <v>114</v>
      </c>
      <c r="F84" s="233"/>
      <c r="G84" s="240"/>
      <c r="H84" s="241"/>
      <c r="I84" s="241"/>
      <c r="J84" s="241"/>
      <c r="K84" s="230"/>
      <c r="L84" s="235">
        <v>46067.0</v>
      </c>
      <c r="M84" s="236">
        <v>30.0</v>
      </c>
      <c r="N84" s="236" t="s">
        <v>100</v>
      </c>
      <c r="O84" s="236" t="s">
        <v>213</v>
      </c>
      <c r="P84" s="237"/>
    </row>
    <row r="85" ht="21.0" customHeight="1">
      <c r="A85" s="224"/>
      <c r="B85" s="243"/>
      <c r="C85" s="239">
        <v>1831.0</v>
      </c>
      <c r="D85" s="239" t="s">
        <v>98</v>
      </c>
      <c r="E85" s="250">
        <v>407.0</v>
      </c>
      <c r="F85" s="233"/>
      <c r="G85" s="240"/>
      <c r="H85" s="241"/>
      <c r="I85" s="241"/>
      <c r="J85" s="241"/>
      <c r="K85" s="230"/>
      <c r="L85" s="242"/>
      <c r="M85" s="236">
        <v>3.0</v>
      </c>
      <c r="N85" s="236" t="s">
        <v>96</v>
      </c>
      <c r="O85" s="236" t="s">
        <v>214</v>
      </c>
      <c r="P85" s="237"/>
    </row>
    <row r="86" ht="21.0" customHeight="1">
      <c r="A86" s="224"/>
      <c r="B86" s="243"/>
      <c r="C86" s="239">
        <v>35.0</v>
      </c>
      <c r="D86" s="239" t="s">
        <v>157</v>
      </c>
      <c r="E86" s="254"/>
      <c r="F86" s="233"/>
      <c r="G86" s="240"/>
      <c r="H86" s="241"/>
      <c r="I86" s="241"/>
      <c r="J86" s="241"/>
      <c r="K86" s="230"/>
      <c r="L86" s="242"/>
      <c r="M86" s="236">
        <v>3.0</v>
      </c>
      <c r="N86" s="236" t="s">
        <v>96</v>
      </c>
      <c r="O86" s="236" t="s">
        <v>215</v>
      </c>
      <c r="P86" s="237"/>
    </row>
    <row r="87" ht="21.0" customHeight="1">
      <c r="A87" s="224"/>
      <c r="B87" s="243"/>
      <c r="C87" s="239">
        <v>280.0</v>
      </c>
      <c r="D87" s="239" t="s">
        <v>216</v>
      </c>
      <c r="E87" s="254"/>
      <c r="F87" s="233"/>
      <c r="G87" s="240"/>
      <c r="H87" s="241"/>
      <c r="I87" s="241"/>
      <c r="J87" s="241"/>
      <c r="K87" s="230"/>
      <c r="L87" s="242"/>
      <c r="M87" s="236">
        <v>850.0</v>
      </c>
      <c r="N87" s="236" t="s">
        <v>115</v>
      </c>
      <c r="O87" s="236" t="s">
        <v>217</v>
      </c>
      <c r="P87" s="237"/>
    </row>
    <row r="88" ht="21.0" customHeight="1">
      <c r="A88" s="224"/>
      <c r="B88" s="243"/>
      <c r="C88" s="239">
        <v>800.0</v>
      </c>
      <c r="D88" s="239" t="s">
        <v>102</v>
      </c>
      <c r="E88" s="251"/>
      <c r="F88" s="233"/>
      <c r="G88" s="240"/>
      <c r="H88" s="241"/>
      <c r="I88" s="241"/>
      <c r="J88" s="241"/>
      <c r="K88" s="230"/>
      <c r="L88" s="242"/>
      <c r="M88" s="236">
        <v>70.0</v>
      </c>
      <c r="N88" s="236" t="s">
        <v>115</v>
      </c>
      <c r="O88" s="236" t="s">
        <v>218</v>
      </c>
      <c r="P88" s="246"/>
    </row>
    <row r="89" ht="21.0" customHeight="1">
      <c r="A89" s="224"/>
      <c r="B89" s="243"/>
      <c r="C89" s="239">
        <v>100.0</v>
      </c>
      <c r="D89" s="239" t="s">
        <v>219</v>
      </c>
      <c r="E89" s="239" t="s">
        <v>130</v>
      </c>
      <c r="F89" s="233"/>
      <c r="G89" s="240"/>
      <c r="H89" s="241"/>
      <c r="I89" s="241"/>
      <c r="J89" s="241"/>
      <c r="K89" s="230"/>
      <c r="L89" s="247"/>
      <c r="M89" s="236">
        <v>100.0</v>
      </c>
      <c r="N89" s="236" t="s">
        <v>100</v>
      </c>
      <c r="O89" s="236">
        <v>308.0</v>
      </c>
      <c r="P89" s="237"/>
    </row>
    <row r="90" ht="21.0" customHeight="1">
      <c r="A90" s="224"/>
      <c r="B90" s="243"/>
      <c r="C90" s="239">
        <v>40.0</v>
      </c>
      <c r="D90" s="239" t="s">
        <v>106</v>
      </c>
      <c r="E90" s="239" t="s">
        <v>220</v>
      </c>
      <c r="F90" s="233"/>
      <c r="G90" s="240"/>
      <c r="H90" s="241"/>
      <c r="I90" s="241"/>
      <c r="J90" s="241"/>
      <c r="K90" s="230"/>
      <c r="L90" s="245">
        <v>46068.0</v>
      </c>
      <c r="M90" s="236">
        <v>920.0</v>
      </c>
      <c r="N90" s="236" t="s">
        <v>96</v>
      </c>
      <c r="O90" s="236" t="s">
        <v>221</v>
      </c>
      <c r="P90" s="237"/>
    </row>
    <row r="91" ht="21.0" customHeight="1">
      <c r="A91" s="224"/>
      <c r="B91" s="243"/>
      <c r="C91" s="239">
        <v>80.0</v>
      </c>
      <c r="D91" s="239" t="s">
        <v>98</v>
      </c>
      <c r="E91" s="239" t="s">
        <v>222</v>
      </c>
      <c r="F91" s="233"/>
      <c r="G91" s="240"/>
      <c r="H91" s="241"/>
      <c r="I91" s="241"/>
      <c r="J91" s="241"/>
      <c r="K91" s="230"/>
      <c r="L91" s="255"/>
      <c r="M91" s="256"/>
      <c r="N91" s="256"/>
      <c r="O91" s="256"/>
      <c r="P91" s="256"/>
    </row>
    <row r="92" ht="21.0" customHeight="1">
      <c r="A92" s="224"/>
      <c r="B92" s="243"/>
      <c r="C92" s="239">
        <v>1500.0</v>
      </c>
      <c r="D92" s="239" t="s">
        <v>33</v>
      </c>
      <c r="E92" s="250" t="s">
        <v>223</v>
      </c>
      <c r="F92" s="233"/>
      <c r="G92" s="240"/>
      <c r="H92" s="265"/>
      <c r="I92" s="241"/>
      <c r="J92" s="241"/>
      <c r="K92" s="230"/>
      <c r="L92" s="245">
        <v>46069.0</v>
      </c>
      <c r="M92" s="236">
        <v>70.0</v>
      </c>
      <c r="N92" s="236" t="s">
        <v>100</v>
      </c>
      <c r="O92" s="236" t="s">
        <v>144</v>
      </c>
      <c r="P92" s="237"/>
    </row>
    <row r="93" ht="21.0" customHeight="1">
      <c r="A93" s="224"/>
      <c r="B93" s="243"/>
      <c r="C93" s="239">
        <v>500.0</v>
      </c>
      <c r="D93" s="239" t="s">
        <v>33</v>
      </c>
      <c r="E93" s="251"/>
      <c r="F93" s="233"/>
      <c r="G93" s="240"/>
      <c r="H93" s="241"/>
      <c r="I93" s="241"/>
      <c r="J93" s="241"/>
      <c r="K93" s="230"/>
      <c r="L93" s="242"/>
      <c r="M93" s="236">
        <v>35.0</v>
      </c>
      <c r="N93" s="236" t="s">
        <v>96</v>
      </c>
      <c r="O93" s="236" t="s">
        <v>224</v>
      </c>
      <c r="P93" s="237"/>
    </row>
    <row r="94" ht="21.0" customHeight="1">
      <c r="A94" s="224"/>
      <c r="B94" s="238">
        <v>46063.0</v>
      </c>
      <c r="C94" s="239">
        <v>300.0</v>
      </c>
      <c r="D94" s="239" t="s">
        <v>225</v>
      </c>
      <c r="E94" s="239" t="s">
        <v>226</v>
      </c>
      <c r="F94" s="233"/>
      <c r="G94" s="240"/>
      <c r="H94" s="241"/>
      <c r="I94" s="241"/>
      <c r="J94" s="241"/>
      <c r="K94" s="230"/>
      <c r="L94" s="242"/>
      <c r="M94" s="236">
        <v>11.0</v>
      </c>
      <c r="N94" s="236" t="s">
        <v>96</v>
      </c>
      <c r="O94" s="237"/>
      <c r="P94" s="237"/>
    </row>
    <row r="95" ht="21.0" customHeight="1">
      <c r="A95" s="224"/>
      <c r="B95" s="243"/>
      <c r="C95" s="239">
        <v>300.0</v>
      </c>
      <c r="D95" s="239" t="s">
        <v>227</v>
      </c>
      <c r="E95" s="239" t="s">
        <v>228</v>
      </c>
      <c r="F95" s="233"/>
      <c r="G95" s="240"/>
      <c r="H95" s="241"/>
      <c r="I95" s="241"/>
      <c r="J95" s="241"/>
      <c r="K95" s="230"/>
      <c r="L95" s="242"/>
      <c r="M95" s="236">
        <v>5.0</v>
      </c>
      <c r="N95" s="236" t="s">
        <v>96</v>
      </c>
      <c r="O95" s="236" t="s">
        <v>229</v>
      </c>
      <c r="P95" s="237"/>
    </row>
    <row r="96" ht="21.0" customHeight="1">
      <c r="A96" s="224"/>
      <c r="B96" s="243"/>
      <c r="C96" s="239">
        <v>40.0</v>
      </c>
      <c r="D96" s="239" t="s">
        <v>106</v>
      </c>
      <c r="E96" s="250">
        <v>308.0</v>
      </c>
      <c r="F96" s="233"/>
      <c r="G96" s="241"/>
      <c r="H96" s="241"/>
      <c r="I96" s="241"/>
      <c r="J96" s="241"/>
      <c r="K96" s="230"/>
      <c r="L96" s="242"/>
      <c r="M96" s="236">
        <v>100.0</v>
      </c>
      <c r="N96" s="236" t="s">
        <v>115</v>
      </c>
      <c r="O96" s="236" t="s">
        <v>230</v>
      </c>
      <c r="P96" s="237"/>
    </row>
    <row r="97" ht="21.0" customHeight="1">
      <c r="A97" s="224"/>
      <c r="B97" s="243"/>
      <c r="C97" s="239">
        <v>30.0</v>
      </c>
      <c r="D97" s="239" t="s">
        <v>157</v>
      </c>
      <c r="E97" s="251"/>
      <c r="F97" s="233"/>
      <c r="G97" s="241"/>
      <c r="H97" s="241"/>
      <c r="I97" s="241"/>
      <c r="J97" s="241"/>
      <c r="K97" s="230"/>
      <c r="L97" s="242"/>
      <c r="M97" s="236">
        <v>80.0</v>
      </c>
      <c r="N97" s="236" t="s">
        <v>96</v>
      </c>
      <c r="O97" s="236" t="s">
        <v>203</v>
      </c>
      <c r="P97" s="237"/>
    </row>
    <row r="98" ht="21.75" customHeight="1">
      <c r="A98" s="224"/>
      <c r="B98" s="243"/>
      <c r="C98" s="239">
        <v>239.0</v>
      </c>
      <c r="D98" s="239" t="s">
        <v>98</v>
      </c>
      <c r="E98" s="250" t="s">
        <v>140</v>
      </c>
      <c r="F98" s="233"/>
      <c r="G98" s="266"/>
      <c r="H98" s="241"/>
      <c r="I98" s="241"/>
      <c r="J98" s="241"/>
      <c r="K98" s="230"/>
      <c r="L98" s="242"/>
      <c r="M98" s="236">
        <v>10.0</v>
      </c>
      <c r="N98" s="236" t="s">
        <v>96</v>
      </c>
      <c r="O98" s="236" t="s">
        <v>231</v>
      </c>
      <c r="P98" s="237"/>
    </row>
    <row r="99" ht="19.5" customHeight="1">
      <c r="A99" s="224"/>
      <c r="B99" s="243"/>
      <c r="C99" s="239">
        <v>105.0</v>
      </c>
      <c r="D99" s="239" t="s">
        <v>98</v>
      </c>
      <c r="E99" s="254"/>
      <c r="F99" s="233"/>
      <c r="G99" s="241"/>
      <c r="H99" s="241"/>
      <c r="I99" s="241"/>
      <c r="J99" s="241"/>
      <c r="K99" s="230"/>
      <c r="L99" s="242"/>
      <c r="M99" s="236">
        <v>100.0</v>
      </c>
      <c r="N99" s="236" t="s">
        <v>96</v>
      </c>
      <c r="O99" s="236" t="s">
        <v>232</v>
      </c>
      <c r="P99" s="237"/>
    </row>
    <row r="100" ht="21.0" customHeight="1">
      <c r="A100" s="224"/>
      <c r="B100" s="243"/>
      <c r="C100" s="239">
        <v>500.0</v>
      </c>
      <c r="D100" s="239" t="s">
        <v>102</v>
      </c>
      <c r="E100" s="251"/>
      <c r="F100" s="233"/>
      <c r="G100" s="240"/>
      <c r="H100" s="241"/>
      <c r="I100" s="241"/>
      <c r="J100" s="241"/>
      <c r="K100" s="230"/>
      <c r="L100" s="242"/>
      <c r="M100" s="237"/>
      <c r="N100" s="237"/>
      <c r="O100" s="237"/>
      <c r="P100" s="237"/>
    </row>
    <row r="101" ht="21.0" customHeight="1">
      <c r="A101" s="224"/>
      <c r="B101" s="243"/>
      <c r="C101" s="239">
        <v>60.0</v>
      </c>
      <c r="D101" s="239" t="s">
        <v>102</v>
      </c>
      <c r="E101" s="239" t="s">
        <v>212</v>
      </c>
      <c r="F101" s="233"/>
      <c r="G101" s="240"/>
      <c r="H101" s="241"/>
      <c r="I101" s="241"/>
      <c r="J101" s="241"/>
      <c r="K101" s="230"/>
      <c r="L101" s="242"/>
      <c r="M101" s="237"/>
      <c r="N101" s="237"/>
      <c r="O101" s="237"/>
      <c r="P101" s="237"/>
    </row>
    <row r="102" ht="21.0" customHeight="1">
      <c r="A102" s="224"/>
      <c r="B102" s="243"/>
      <c r="C102" s="239">
        <v>60.0</v>
      </c>
      <c r="D102" s="239" t="s">
        <v>102</v>
      </c>
      <c r="E102" s="239" t="s">
        <v>233</v>
      </c>
      <c r="F102" s="233"/>
      <c r="G102" s="261"/>
      <c r="H102" s="241"/>
      <c r="I102" s="241"/>
      <c r="J102" s="241"/>
      <c r="K102" s="230"/>
      <c r="L102" s="242"/>
      <c r="M102" s="237"/>
      <c r="N102" s="237"/>
      <c r="O102" s="237"/>
      <c r="P102" s="237"/>
    </row>
    <row r="103" ht="21.0" customHeight="1">
      <c r="A103" s="224"/>
      <c r="B103" s="243"/>
      <c r="C103" s="239">
        <v>25.0</v>
      </c>
      <c r="D103" s="239" t="s">
        <v>102</v>
      </c>
      <c r="E103" s="239" t="s">
        <v>126</v>
      </c>
      <c r="F103" s="233"/>
      <c r="G103" s="240"/>
      <c r="H103" s="241"/>
      <c r="I103" s="241"/>
      <c r="J103" s="241"/>
      <c r="K103" s="230"/>
      <c r="L103" s="242"/>
      <c r="M103" s="237"/>
      <c r="N103" s="237"/>
      <c r="O103" s="237"/>
      <c r="P103" s="237"/>
    </row>
    <row r="104" ht="21.0" customHeight="1">
      <c r="A104" s="224"/>
      <c r="B104" s="243"/>
      <c r="C104" s="239">
        <v>300.0</v>
      </c>
      <c r="D104" s="239" t="s">
        <v>102</v>
      </c>
      <c r="E104" s="250" t="s">
        <v>132</v>
      </c>
      <c r="F104" s="233"/>
      <c r="G104" s="240"/>
      <c r="H104" s="241"/>
      <c r="I104" s="241"/>
      <c r="J104" s="241"/>
      <c r="K104" s="230"/>
      <c r="L104" s="242"/>
      <c r="M104" s="237"/>
      <c r="N104" s="237"/>
      <c r="O104" s="237"/>
      <c r="P104" s="237"/>
    </row>
    <row r="105" ht="21.0" customHeight="1">
      <c r="A105" s="224"/>
      <c r="B105" s="243"/>
      <c r="C105" s="239">
        <v>100.0</v>
      </c>
      <c r="D105" s="239" t="s">
        <v>157</v>
      </c>
      <c r="E105" s="251"/>
      <c r="F105" s="233"/>
      <c r="G105" s="240"/>
      <c r="H105" s="241"/>
      <c r="I105" s="241"/>
      <c r="J105" s="241"/>
      <c r="K105" s="230"/>
      <c r="L105" s="242"/>
      <c r="M105" s="237"/>
      <c r="N105" s="237"/>
      <c r="O105" s="237"/>
      <c r="P105" s="237"/>
    </row>
    <row r="106" ht="21.0" customHeight="1">
      <c r="A106" s="224"/>
      <c r="B106" s="238">
        <v>46064.0</v>
      </c>
      <c r="C106" s="239">
        <v>40.0</v>
      </c>
      <c r="D106" s="239" t="s">
        <v>102</v>
      </c>
      <c r="E106" s="239" t="s">
        <v>234</v>
      </c>
      <c r="F106" s="233"/>
      <c r="G106" s="240"/>
      <c r="H106" s="241"/>
      <c r="I106" s="241"/>
      <c r="J106" s="241"/>
      <c r="K106" s="230"/>
      <c r="L106" s="242"/>
      <c r="M106" s="237"/>
      <c r="N106" s="237"/>
      <c r="O106" s="237"/>
      <c r="P106" s="237"/>
    </row>
    <row r="107" ht="21.0" customHeight="1">
      <c r="A107" s="224"/>
      <c r="B107" s="243"/>
      <c r="C107" s="239">
        <v>50.0</v>
      </c>
      <c r="D107" s="239" t="s">
        <v>106</v>
      </c>
      <c r="E107" s="239" t="s">
        <v>162</v>
      </c>
      <c r="F107" s="233"/>
      <c r="G107" s="240"/>
      <c r="H107" s="241"/>
      <c r="I107" s="241"/>
      <c r="J107" s="241"/>
      <c r="K107" s="230"/>
      <c r="L107" s="242"/>
      <c r="M107" s="237"/>
      <c r="N107" s="237"/>
      <c r="O107" s="237"/>
      <c r="P107" s="237"/>
    </row>
    <row r="108" ht="21.0" customHeight="1">
      <c r="A108" s="224"/>
      <c r="B108" s="243"/>
      <c r="C108" s="239">
        <v>30.0</v>
      </c>
      <c r="D108" s="239" t="s">
        <v>106</v>
      </c>
      <c r="E108" s="239" t="s">
        <v>235</v>
      </c>
      <c r="F108" s="233"/>
      <c r="G108" s="267"/>
      <c r="H108" s="241"/>
      <c r="I108" s="241"/>
      <c r="J108" s="241"/>
      <c r="K108" s="230"/>
      <c r="L108" s="242"/>
      <c r="M108" s="237"/>
      <c r="N108" s="237"/>
      <c r="O108" s="237"/>
      <c r="P108" s="237"/>
    </row>
    <row r="109" ht="21.0" customHeight="1">
      <c r="A109" s="224"/>
      <c r="B109" s="243"/>
      <c r="C109" s="239">
        <v>600.0</v>
      </c>
      <c r="D109" s="239" t="s">
        <v>102</v>
      </c>
      <c r="E109" s="250" t="s">
        <v>236</v>
      </c>
      <c r="F109" s="233"/>
      <c r="G109" s="240"/>
      <c r="H109" s="241"/>
      <c r="I109" s="241"/>
      <c r="J109" s="241"/>
      <c r="K109" s="230"/>
      <c r="L109" s="242"/>
      <c r="M109" s="237"/>
      <c r="N109" s="237"/>
      <c r="O109" s="237"/>
      <c r="P109" s="246"/>
    </row>
    <row r="110" ht="21.0" customHeight="1">
      <c r="A110" s="224"/>
      <c r="B110" s="243"/>
      <c r="C110" s="239">
        <v>920.0</v>
      </c>
      <c r="D110" s="239" t="s">
        <v>98</v>
      </c>
      <c r="E110" s="254"/>
      <c r="F110" s="233"/>
      <c r="G110" s="240"/>
      <c r="H110" s="241"/>
      <c r="I110" s="241"/>
      <c r="J110" s="241"/>
      <c r="K110" s="230"/>
      <c r="L110" s="247"/>
      <c r="M110" s="237"/>
      <c r="N110" s="237"/>
      <c r="O110" s="237"/>
      <c r="P110" s="237"/>
    </row>
    <row r="111" ht="21.0" customHeight="1">
      <c r="A111" s="224"/>
      <c r="B111" s="243"/>
      <c r="C111" s="239">
        <v>50.0</v>
      </c>
      <c r="D111" s="239" t="s">
        <v>157</v>
      </c>
      <c r="E111" s="251"/>
      <c r="F111" s="233"/>
      <c r="G111" s="240"/>
      <c r="H111" s="241"/>
      <c r="I111" s="241"/>
      <c r="J111" s="241"/>
      <c r="K111" s="230"/>
      <c r="L111" s="242"/>
      <c r="M111" s="237"/>
      <c r="N111" s="237"/>
      <c r="O111" s="237"/>
      <c r="P111" s="237"/>
    </row>
    <row r="112" ht="21.0" customHeight="1">
      <c r="A112" s="224"/>
      <c r="B112" s="243"/>
      <c r="C112" s="239">
        <v>40.0</v>
      </c>
      <c r="D112" s="239" t="s">
        <v>106</v>
      </c>
      <c r="E112" s="248"/>
      <c r="F112" s="233"/>
      <c r="G112" s="240"/>
      <c r="H112" s="241"/>
      <c r="I112" s="241"/>
      <c r="J112" s="241"/>
      <c r="K112" s="230"/>
      <c r="L112" s="242"/>
      <c r="M112" s="237"/>
      <c r="N112" s="237"/>
      <c r="O112" s="237"/>
      <c r="P112" s="237"/>
    </row>
    <row r="113" ht="21.0" customHeight="1">
      <c r="A113" s="224"/>
      <c r="B113" s="243"/>
      <c r="C113" s="239">
        <v>50.0</v>
      </c>
      <c r="D113" s="239" t="s">
        <v>106</v>
      </c>
      <c r="E113" s="250" t="s">
        <v>121</v>
      </c>
      <c r="F113" s="233"/>
      <c r="G113" s="240"/>
      <c r="H113" s="241"/>
      <c r="I113" s="241"/>
      <c r="J113" s="241"/>
      <c r="K113" s="230"/>
      <c r="L113" s="242"/>
      <c r="M113" s="237"/>
      <c r="N113" s="237"/>
      <c r="O113" s="237"/>
      <c r="P113" s="237"/>
    </row>
    <row r="114" ht="21.0" customHeight="1">
      <c r="A114" s="224"/>
      <c r="B114" s="243"/>
      <c r="C114" s="239">
        <v>10.0</v>
      </c>
      <c r="D114" s="239" t="s">
        <v>167</v>
      </c>
      <c r="E114" s="251"/>
      <c r="F114" s="233"/>
      <c r="G114" s="240"/>
      <c r="H114" s="241"/>
      <c r="I114" s="241"/>
      <c r="J114" s="241"/>
      <c r="K114" s="230"/>
      <c r="L114" s="242"/>
      <c r="M114" s="237"/>
      <c r="N114" s="237"/>
      <c r="O114" s="237"/>
      <c r="P114" s="246"/>
    </row>
    <row r="115" ht="21.0" customHeight="1">
      <c r="A115" s="224"/>
      <c r="B115" s="243"/>
      <c r="C115" s="239">
        <v>425.0</v>
      </c>
      <c r="D115" s="239" t="s">
        <v>102</v>
      </c>
      <c r="E115" s="239" t="s">
        <v>151</v>
      </c>
      <c r="F115" s="233"/>
      <c r="G115" s="240"/>
      <c r="H115" s="241"/>
      <c r="I115" s="241"/>
      <c r="J115" s="241"/>
      <c r="K115" s="230"/>
      <c r="L115" s="247"/>
      <c r="M115" s="237"/>
      <c r="N115" s="237"/>
      <c r="O115" s="237"/>
      <c r="P115" s="237"/>
    </row>
    <row r="116" ht="21.0" customHeight="1">
      <c r="A116" s="224"/>
      <c r="B116" s="238">
        <v>46065.0</v>
      </c>
      <c r="C116" s="239">
        <v>70.0</v>
      </c>
      <c r="D116" s="239" t="s">
        <v>219</v>
      </c>
      <c r="E116" s="239" t="s">
        <v>237</v>
      </c>
      <c r="F116" s="233"/>
      <c r="G116" s="240"/>
      <c r="H116" s="241"/>
      <c r="I116" s="241"/>
      <c r="J116" s="241"/>
      <c r="K116" s="230"/>
      <c r="L116" s="242"/>
      <c r="M116" s="237"/>
      <c r="N116" s="237"/>
      <c r="O116" s="237"/>
      <c r="P116" s="237"/>
    </row>
    <row r="117" ht="23.25" customHeight="1">
      <c r="A117" s="224"/>
      <c r="B117" s="243"/>
      <c r="C117" s="239">
        <v>50.0</v>
      </c>
      <c r="D117" s="239" t="s">
        <v>106</v>
      </c>
      <c r="E117" s="239" t="s">
        <v>200</v>
      </c>
      <c r="F117" s="233"/>
      <c r="G117" s="240"/>
      <c r="H117" s="241"/>
      <c r="I117" s="241"/>
      <c r="J117" s="241"/>
      <c r="K117" s="230"/>
      <c r="L117" s="242"/>
      <c r="M117" s="237"/>
      <c r="N117" s="237"/>
      <c r="O117" s="237"/>
      <c r="P117" s="237"/>
    </row>
    <row r="118" ht="21.0" customHeight="1">
      <c r="A118" s="224"/>
      <c r="B118" s="243"/>
      <c r="C118" s="239">
        <v>50.0</v>
      </c>
      <c r="D118" s="239" t="s">
        <v>106</v>
      </c>
      <c r="E118" s="239" t="s">
        <v>238</v>
      </c>
      <c r="F118" s="233"/>
      <c r="G118" s="240"/>
      <c r="H118" s="241"/>
      <c r="I118" s="241"/>
      <c r="J118" s="241"/>
      <c r="K118" s="230"/>
      <c r="L118" s="242"/>
      <c r="M118" s="237"/>
      <c r="N118" s="237"/>
      <c r="O118" s="237"/>
      <c r="P118" s="237"/>
    </row>
    <row r="119" ht="21.0" customHeight="1">
      <c r="A119" s="224"/>
      <c r="B119" s="243"/>
      <c r="C119" s="239">
        <v>35.0</v>
      </c>
      <c r="D119" s="239" t="s">
        <v>157</v>
      </c>
      <c r="E119" s="250" t="s">
        <v>200</v>
      </c>
      <c r="F119" s="233"/>
      <c r="G119" s="240"/>
      <c r="H119" s="241"/>
      <c r="I119" s="241"/>
      <c r="J119" s="241"/>
      <c r="K119" s="230"/>
      <c r="L119" s="242"/>
      <c r="M119" s="237"/>
      <c r="N119" s="237"/>
      <c r="O119" s="237"/>
      <c r="P119" s="246"/>
    </row>
    <row r="120" ht="21.0" customHeight="1">
      <c r="A120" s="224"/>
      <c r="B120" s="243"/>
      <c r="C120" s="239">
        <v>30.0</v>
      </c>
      <c r="D120" s="239" t="s">
        <v>106</v>
      </c>
      <c r="E120" s="251"/>
      <c r="F120" s="233"/>
      <c r="G120" s="240"/>
      <c r="H120" s="241"/>
      <c r="I120" s="241"/>
      <c r="J120" s="241"/>
      <c r="K120" s="230"/>
      <c r="L120" s="247"/>
      <c r="M120" s="237"/>
      <c r="N120" s="237"/>
      <c r="O120" s="237"/>
      <c r="P120" s="237"/>
    </row>
    <row r="121" ht="21.0" customHeight="1">
      <c r="A121" s="224"/>
      <c r="B121" s="243"/>
      <c r="C121" s="239">
        <v>120.0</v>
      </c>
      <c r="D121" s="239" t="s">
        <v>102</v>
      </c>
      <c r="E121" s="250" t="s">
        <v>239</v>
      </c>
      <c r="F121" s="233"/>
      <c r="G121" s="240"/>
      <c r="H121" s="241"/>
      <c r="I121" s="241"/>
      <c r="J121" s="241"/>
      <c r="K121" s="230"/>
      <c r="L121" s="242"/>
      <c r="M121" s="237"/>
      <c r="N121" s="237"/>
      <c r="O121" s="237"/>
      <c r="P121" s="237"/>
    </row>
    <row r="122" ht="21.0" customHeight="1">
      <c r="A122" s="224"/>
      <c r="B122" s="243"/>
      <c r="C122" s="239">
        <v>75.0</v>
      </c>
      <c r="D122" s="239" t="s">
        <v>98</v>
      </c>
      <c r="E122" s="254"/>
      <c r="F122" s="233"/>
      <c r="G122" s="240"/>
      <c r="H122" s="241"/>
      <c r="I122" s="241"/>
      <c r="J122" s="241"/>
      <c r="K122" s="230"/>
      <c r="L122" s="242"/>
      <c r="M122" s="237"/>
      <c r="N122" s="237"/>
      <c r="O122" s="237"/>
      <c r="P122" s="237"/>
    </row>
    <row r="123" ht="21.0" customHeight="1">
      <c r="A123" s="224"/>
      <c r="B123" s="243"/>
      <c r="C123" s="239">
        <v>20.0</v>
      </c>
      <c r="D123" s="239" t="s">
        <v>157</v>
      </c>
      <c r="E123" s="251"/>
      <c r="F123" s="233"/>
      <c r="G123" s="240"/>
      <c r="H123" s="241"/>
      <c r="I123" s="241"/>
      <c r="J123" s="241"/>
      <c r="K123" s="230"/>
      <c r="L123" s="242"/>
      <c r="M123" s="237"/>
      <c r="N123" s="237"/>
      <c r="O123" s="237"/>
      <c r="P123" s="237"/>
    </row>
    <row r="124" ht="21.0" customHeight="1">
      <c r="A124" s="224"/>
      <c r="B124" s="243"/>
      <c r="C124" s="239">
        <v>170.0</v>
      </c>
      <c r="D124" s="239" t="s">
        <v>102</v>
      </c>
      <c r="E124" s="239" t="s">
        <v>151</v>
      </c>
      <c r="F124" s="233"/>
      <c r="G124" s="240"/>
      <c r="H124" s="241"/>
      <c r="I124" s="241"/>
      <c r="J124" s="241"/>
      <c r="K124" s="230"/>
      <c r="L124" s="242"/>
      <c r="M124" s="237"/>
      <c r="N124" s="237"/>
      <c r="O124" s="237"/>
      <c r="P124" s="237"/>
    </row>
    <row r="125" ht="21.0" customHeight="1">
      <c r="A125" s="224"/>
      <c r="B125" s="238">
        <v>46066.0</v>
      </c>
      <c r="C125" s="239">
        <v>220.0</v>
      </c>
      <c r="D125" s="239" t="s">
        <v>102</v>
      </c>
      <c r="E125" s="250" t="s">
        <v>175</v>
      </c>
      <c r="F125" s="233"/>
      <c r="G125" s="240"/>
      <c r="H125" s="241"/>
      <c r="I125" s="241"/>
      <c r="J125" s="241"/>
      <c r="K125" s="230"/>
      <c r="L125" s="247"/>
      <c r="M125" s="237"/>
      <c r="N125" s="237"/>
      <c r="O125" s="237"/>
      <c r="P125" s="237"/>
    </row>
    <row r="126" ht="21.0" customHeight="1">
      <c r="A126" s="224"/>
      <c r="B126" s="243"/>
      <c r="C126" s="239">
        <v>180.0</v>
      </c>
      <c r="D126" s="239" t="s">
        <v>98</v>
      </c>
      <c r="E126" s="251"/>
      <c r="F126" s="233"/>
      <c r="G126" s="240"/>
      <c r="H126" s="241"/>
      <c r="I126" s="241"/>
      <c r="J126" s="241"/>
      <c r="K126" s="230"/>
      <c r="L126" s="242"/>
      <c r="M126" s="237"/>
      <c r="N126" s="237"/>
      <c r="O126" s="237"/>
      <c r="P126" s="237"/>
    </row>
    <row r="127" ht="21.0" customHeight="1">
      <c r="A127" s="224"/>
      <c r="B127" s="243"/>
      <c r="C127" s="239">
        <v>200.0</v>
      </c>
      <c r="D127" s="239" t="s">
        <v>227</v>
      </c>
      <c r="E127" s="239" t="s">
        <v>228</v>
      </c>
      <c r="F127" s="233"/>
      <c r="G127" s="240"/>
      <c r="H127" s="241"/>
      <c r="I127" s="241"/>
      <c r="J127" s="241"/>
      <c r="K127" s="230"/>
      <c r="L127" s="242"/>
      <c r="M127" s="237"/>
      <c r="N127" s="237"/>
      <c r="O127" s="237"/>
      <c r="P127" s="237"/>
    </row>
    <row r="128" ht="18.75" customHeight="1">
      <c r="A128" s="224"/>
      <c r="B128" s="243"/>
      <c r="C128" s="239">
        <v>40.0</v>
      </c>
      <c r="D128" s="239" t="s">
        <v>106</v>
      </c>
      <c r="E128" s="248"/>
      <c r="F128" s="233"/>
      <c r="G128" s="240"/>
      <c r="H128" s="241"/>
      <c r="I128" s="241"/>
      <c r="J128" s="241"/>
      <c r="K128" s="230"/>
      <c r="L128" s="242"/>
      <c r="M128" s="237"/>
      <c r="N128" s="237"/>
      <c r="O128" s="237"/>
      <c r="P128" s="237"/>
    </row>
    <row r="129" ht="21.0" customHeight="1">
      <c r="A129" s="224"/>
      <c r="B129" s="243"/>
      <c r="C129" s="239">
        <v>40.0</v>
      </c>
      <c r="D129" s="239" t="s">
        <v>98</v>
      </c>
      <c r="E129" s="239" t="s">
        <v>148</v>
      </c>
      <c r="F129" s="233"/>
      <c r="G129" s="240"/>
      <c r="H129" s="241"/>
      <c r="I129" s="241"/>
      <c r="J129" s="241"/>
      <c r="K129" s="230"/>
      <c r="L129" s="242"/>
      <c r="M129" s="237"/>
      <c r="N129" s="237"/>
      <c r="O129" s="237"/>
      <c r="P129" s="246"/>
    </row>
    <row r="130" ht="21.0" customHeight="1">
      <c r="A130" s="224"/>
      <c r="B130" s="243"/>
      <c r="C130" s="239">
        <v>70.0</v>
      </c>
      <c r="D130" s="239" t="s">
        <v>106</v>
      </c>
      <c r="E130" s="239" t="s">
        <v>198</v>
      </c>
      <c r="F130" s="233"/>
      <c r="G130" s="240"/>
      <c r="H130" s="241"/>
      <c r="I130" s="241"/>
      <c r="J130" s="241"/>
      <c r="K130" s="230"/>
      <c r="L130" s="247"/>
      <c r="M130" s="237"/>
      <c r="N130" s="237"/>
      <c r="O130" s="237"/>
      <c r="P130" s="237"/>
    </row>
    <row r="131" ht="21.0" customHeight="1">
      <c r="A131" s="224"/>
      <c r="B131" s="243"/>
      <c r="C131" s="239">
        <v>30.0</v>
      </c>
      <c r="D131" s="239" t="s">
        <v>102</v>
      </c>
      <c r="E131" s="239" t="s">
        <v>240</v>
      </c>
      <c r="F131" s="233"/>
      <c r="G131" s="240"/>
      <c r="H131" s="241"/>
      <c r="I131" s="241"/>
      <c r="J131" s="241"/>
      <c r="K131" s="230"/>
      <c r="L131" s="242"/>
      <c r="M131" s="237"/>
      <c r="N131" s="237"/>
      <c r="O131" s="237"/>
      <c r="P131" s="237"/>
    </row>
    <row r="132" ht="21.0" customHeight="1">
      <c r="A132" s="224"/>
      <c r="B132" s="243"/>
      <c r="C132" s="239">
        <v>2892.0</v>
      </c>
      <c r="D132" s="239" t="s">
        <v>98</v>
      </c>
      <c r="E132" s="250">
        <v>508.0</v>
      </c>
      <c r="F132" s="233"/>
      <c r="G132" s="240"/>
      <c r="H132" s="241"/>
      <c r="I132" s="241"/>
      <c r="J132" s="241"/>
      <c r="K132" s="230"/>
      <c r="L132" s="242"/>
      <c r="M132" s="237"/>
      <c r="N132" s="237"/>
      <c r="O132" s="237"/>
      <c r="P132" s="237"/>
    </row>
    <row r="133" ht="21.0" customHeight="1">
      <c r="A133" s="224"/>
      <c r="B133" s="243"/>
      <c r="C133" s="239">
        <v>3150.0</v>
      </c>
      <c r="D133" s="239" t="s">
        <v>102</v>
      </c>
      <c r="E133" s="254"/>
      <c r="F133" s="233"/>
      <c r="G133" s="240"/>
      <c r="H133" s="241"/>
      <c r="I133" s="241"/>
      <c r="J133" s="241"/>
      <c r="K133" s="230"/>
      <c r="L133" s="242"/>
      <c r="M133" s="237"/>
      <c r="N133" s="237"/>
      <c r="O133" s="237"/>
      <c r="P133" s="237"/>
    </row>
    <row r="134" ht="21.0" customHeight="1">
      <c r="A134" s="224"/>
      <c r="B134" s="243"/>
      <c r="C134" s="239">
        <v>1222.0</v>
      </c>
      <c r="D134" s="239" t="s">
        <v>167</v>
      </c>
      <c r="E134" s="254"/>
      <c r="F134" s="233"/>
      <c r="G134" s="240"/>
      <c r="H134" s="241"/>
      <c r="I134" s="241"/>
      <c r="J134" s="241"/>
      <c r="K134" s="230"/>
      <c r="L134" s="242"/>
      <c r="M134" s="237"/>
      <c r="N134" s="237"/>
      <c r="O134" s="237"/>
      <c r="P134" s="246"/>
    </row>
    <row r="135" ht="21.0" customHeight="1">
      <c r="A135" s="224"/>
      <c r="B135" s="243"/>
      <c r="C135" s="239">
        <v>142.0</v>
      </c>
      <c r="D135" s="239" t="s">
        <v>157</v>
      </c>
      <c r="E135" s="254"/>
      <c r="F135" s="233"/>
      <c r="G135" s="240"/>
      <c r="H135" s="241"/>
      <c r="I135" s="241"/>
      <c r="J135" s="241"/>
      <c r="K135" s="230"/>
      <c r="L135" s="247"/>
      <c r="M135" s="237"/>
      <c r="N135" s="237"/>
      <c r="O135" s="237"/>
      <c r="P135" s="237"/>
    </row>
    <row r="136" ht="21.0" customHeight="1">
      <c r="A136" s="224"/>
      <c r="B136" s="243"/>
      <c r="C136" s="239">
        <v>250.0</v>
      </c>
      <c r="D136" s="239" t="s">
        <v>98</v>
      </c>
      <c r="E136" s="251"/>
      <c r="F136" s="233"/>
      <c r="G136" s="240"/>
      <c r="H136" s="241"/>
      <c r="I136" s="241"/>
      <c r="J136" s="241"/>
      <c r="K136" s="230"/>
      <c r="L136" s="242"/>
      <c r="M136" s="237"/>
      <c r="N136" s="237"/>
      <c r="O136" s="237"/>
      <c r="P136" s="237"/>
    </row>
    <row r="137" ht="21.0" customHeight="1">
      <c r="A137" s="224"/>
      <c r="B137" s="243"/>
      <c r="C137" s="239">
        <v>110.0</v>
      </c>
      <c r="D137" s="239" t="s">
        <v>157</v>
      </c>
      <c r="E137" s="250" t="s">
        <v>163</v>
      </c>
      <c r="F137" s="233"/>
      <c r="G137" s="240"/>
      <c r="H137" s="241"/>
      <c r="I137" s="241"/>
      <c r="J137" s="241"/>
      <c r="K137" s="230"/>
      <c r="L137" s="242"/>
      <c r="M137" s="237"/>
      <c r="N137" s="237"/>
      <c r="O137" s="237"/>
      <c r="P137" s="237"/>
    </row>
    <row r="138" ht="21.0" customHeight="1">
      <c r="A138" s="224"/>
      <c r="B138" s="243"/>
      <c r="C138" s="239">
        <v>110.0</v>
      </c>
      <c r="D138" s="239" t="s">
        <v>98</v>
      </c>
      <c r="E138" s="254"/>
      <c r="F138" s="233"/>
      <c r="G138" s="241"/>
      <c r="H138" s="241"/>
      <c r="I138" s="241"/>
      <c r="J138" s="241"/>
      <c r="K138" s="230"/>
      <c r="L138" s="242"/>
      <c r="M138" s="237"/>
      <c r="N138" s="237"/>
      <c r="O138" s="237"/>
      <c r="P138" s="237"/>
    </row>
    <row r="139" ht="21.0" customHeight="1">
      <c r="A139" s="224"/>
      <c r="B139" s="243"/>
      <c r="C139" s="239">
        <v>30.0</v>
      </c>
      <c r="D139" s="239" t="s">
        <v>102</v>
      </c>
      <c r="E139" s="251"/>
      <c r="F139" s="233"/>
      <c r="G139" s="241"/>
      <c r="H139" s="241"/>
      <c r="I139" s="241"/>
      <c r="J139" s="241"/>
      <c r="K139" s="230"/>
      <c r="L139" s="242"/>
      <c r="M139" s="237"/>
      <c r="N139" s="237"/>
      <c r="O139" s="237"/>
      <c r="P139" s="246"/>
    </row>
    <row r="140" ht="21.0" customHeight="1">
      <c r="A140" s="224"/>
      <c r="B140" s="243"/>
      <c r="C140" s="239">
        <v>400.0</v>
      </c>
      <c r="D140" s="239" t="s">
        <v>102</v>
      </c>
      <c r="E140" s="250">
        <v>3008.0</v>
      </c>
      <c r="F140" s="233"/>
      <c r="G140" s="240"/>
      <c r="H140" s="241"/>
      <c r="I140" s="241"/>
      <c r="J140" s="241"/>
      <c r="K140" s="230"/>
      <c r="L140" s="247"/>
      <c r="M140" s="237"/>
      <c r="N140" s="237"/>
      <c r="O140" s="237"/>
      <c r="P140" s="237"/>
    </row>
    <row r="141" ht="21.0" customHeight="1">
      <c r="A141" s="224"/>
      <c r="B141" s="243"/>
      <c r="C141" s="239">
        <v>40.0</v>
      </c>
      <c r="D141" s="239" t="s">
        <v>157</v>
      </c>
      <c r="E141" s="251"/>
      <c r="F141" s="233"/>
      <c r="G141" s="240"/>
      <c r="H141" s="241"/>
      <c r="I141" s="241"/>
      <c r="J141" s="241"/>
      <c r="K141" s="230"/>
      <c r="L141" s="242"/>
      <c r="M141" s="237"/>
      <c r="N141" s="237"/>
      <c r="O141" s="237"/>
      <c r="P141" s="237"/>
    </row>
    <row r="142" ht="21.0" customHeight="1">
      <c r="A142" s="224"/>
      <c r="B142" s="243"/>
      <c r="C142" s="239">
        <v>20.0</v>
      </c>
      <c r="D142" s="239" t="s">
        <v>157</v>
      </c>
      <c r="E142" s="248"/>
      <c r="F142" s="233"/>
      <c r="G142" s="240"/>
      <c r="H142" s="241"/>
      <c r="I142" s="241"/>
      <c r="J142" s="241"/>
      <c r="K142" s="230"/>
      <c r="L142" s="242"/>
      <c r="M142" s="237"/>
      <c r="N142" s="237"/>
      <c r="O142" s="237"/>
      <c r="P142" s="237"/>
    </row>
    <row r="143" ht="21.0" customHeight="1">
      <c r="A143" s="224"/>
      <c r="B143" s="243"/>
      <c r="C143" s="239">
        <v>80.0</v>
      </c>
      <c r="D143" s="239" t="s">
        <v>98</v>
      </c>
      <c r="E143" s="248"/>
      <c r="F143" s="233"/>
      <c r="G143" s="240"/>
      <c r="H143" s="241"/>
      <c r="I143" s="241"/>
      <c r="J143" s="241"/>
      <c r="K143" s="230"/>
      <c r="L143" s="242"/>
      <c r="M143" s="237"/>
      <c r="N143" s="237"/>
      <c r="O143" s="237"/>
      <c r="P143" s="237"/>
    </row>
    <row r="144" ht="21.0" customHeight="1">
      <c r="A144" s="224"/>
      <c r="B144" s="243"/>
      <c r="C144" s="239">
        <v>250.0</v>
      </c>
      <c r="D144" s="239" t="s">
        <v>102</v>
      </c>
      <c r="E144" s="250" t="s">
        <v>241</v>
      </c>
      <c r="F144" s="233"/>
      <c r="G144" s="240"/>
      <c r="H144" s="241"/>
      <c r="I144" s="241"/>
      <c r="J144" s="241"/>
      <c r="K144" s="230"/>
      <c r="L144" s="242"/>
      <c r="M144" s="237"/>
      <c r="N144" s="237"/>
      <c r="O144" s="237"/>
      <c r="P144" s="246"/>
    </row>
    <row r="145" ht="21.0" customHeight="1">
      <c r="A145" s="224"/>
      <c r="B145" s="243"/>
      <c r="C145" s="239">
        <v>80.0</v>
      </c>
      <c r="D145" s="239" t="s">
        <v>98</v>
      </c>
      <c r="E145" s="254"/>
      <c r="F145" s="233"/>
      <c r="G145" s="240"/>
      <c r="H145" s="241"/>
      <c r="I145" s="241"/>
      <c r="J145" s="241"/>
      <c r="K145" s="230"/>
      <c r="L145" s="247"/>
      <c r="M145" s="237"/>
      <c r="N145" s="237"/>
      <c r="O145" s="237"/>
      <c r="P145" s="237"/>
    </row>
    <row r="146" ht="21.0" customHeight="1">
      <c r="A146" s="224"/>
      <c r="B146" s="243"/>
      <c r="C146" s="239">
        <v>15.0</v>
      </c>
      <c r="D146" s="239" t="s">
        <v>157</v>
      </c>
      <c r="E146" s="251"/>
      <c r="F146" s="233"/>
      <c r="G146" s="240"/>
      <c r="H146" s="241"/>
      <c r="I146" s="241"/>
      <c r="J146" s="241"/>
      <c r="K146" s="230"/>
      <c r="L146" s="242"/>
      <c r="M146" s="237"/>
      <c r="N146" s="237"/>
      <c r="O146" s="237"/>
      <c r="P146" s="237"/>
    </row>
    <row r="147" ht="21.0" customHeight="1">
      <c r="A147" s="224"/>
      <c r="B147" s="238">
        <v>46067.0</v>
      </c>
      <c r="C147" s="239">
        <v>890.0</v>
      </c>
      <c r="D147" s="239" t="s">
        <v>98</v>
      </c>
      <c r="E147" s="250" t="s">
        <v>242</v>
      </c>
      <c r="F147" s="233"/>
      <c r="G147" s="240"/>
      <c r="H147" s="241"/>
      <c r="I147" s="241"/>
      <c r="J147" s="241"/>
      <c r="K147" s="230"/>
      <c r="L147" s="242"/>
      <c r="M147" s="237"/>
      <c r="N147" s="237"/>
      <c r="O147" s="237"/>
      <c r="P147" s="237"/>
    </row>
    <row r="148" ht="21.0" customHeight="1">
      <c r="A148" s="224"/>
      <c r="B148" s="243"/>
      <c r="C148" s="239">
        <v>66.0</v>
      </c>
      <c r="D148" s="239" t="s">
        <v>243</v>
      </c>
      <c r="E148" s="254"/>
      <c r="F148" s="233"/>
      <c r="G148" s="240"/>
      <c r="H148" s="241"/>
      <c r="I148" s="241"/>
      <c r="J148" s="241"/>
      <c r="K148" s="230"/>
      <c r="L148" s="242"/>
      <c r="M148" s="237"/>
      <c r="N148" s="237"/>
      <c r="O148" s="237"/>
      <c r="P148" s="237"/>
    </row>
    <row r="149" ht="21.0" customHeight="1">
      <c r="A149" s="224"/>
      <c r="B149" s="243"/>
      <c r="C149" s="239">
        <v>150.0</v>
      </c>
      <c r="D149" s="239" t="s">
        <v>102</v>
      </c>
      <c r="E149" s="251"/>
      <c r="F149" s="233"/>
      <c r="G149" s="240"/>
      <c r="H149" s="241"/>
      <c r="I149" s="241"/>
      <c r="J149" s="241"/>
      <c r="K149" s="230"/>
      <c r="L149" s="242"/>
      <c r="M149" s="237"/>
      <c r="N149" s="237"/>
      <c r="O149" s="237"/>
      <c r="P149" s="246"/>
    </row>
    <row r="150" ht="21.0" customHeight="1">
      <c r="A150" s="224"/>
      <c r="B150" s="243"/>
      <c r="C150" s="239">
        <v>40.0</v>
      </c>
      <c r="D150" s="239" t="s">
        <v>106</v>
      </c>
      <c r="E150" s="239" t="s">
        <v>175</v>
      </c>
      <c r="F150" s="233"/>
      <c r="G150" s="240"/>
      <c r="H150" s="241"/>
      <c r="I150" s="241"/>
      <c r="J150" s="241"/>
      <c r="K150" s="230"/>
      <c r="L150" s="247"/>
      <c r="M150" s="237"/>
      <c r="N150" s="237"/>
      <c r="O150" s="237"/>
      <c r="P150" s="237"/>
    </row>
    <row r="151" ht="21.0" customHeight="1">
      <c r="A151" s="224"/>
      <c r="B151" s="243"/>
      <c r="C151" s="239">
        <v>70.0</v>
      </c>
      <c r="D151" s="239" t="s">
        <v>219</v>
      </c>
      <c r="E151" s="239" t="s">
        <v>244</v>
      </c>
      <c r="F151" s="233"/>
      <c r="G151" s="261"/>
      <c r="H151" s="241"/>
      <c r="I151" s="241"/>
      <c r="J151" s="241"/>
      <c r="K151" s="230"/>
      <c r="L151" s="242"/>
      <c r="M151" s="237"/>
      <c r="N151" s="237"/>
      <c r="O151" s="237"/>
      <c r="P151" s="237"/>
    </row>
    <row r="152" ht="21.0" customHeight="1">
      <c r="A152" s="224"/>
      <c r="B152" s="243"/>
      <c r="C152" s="239">
        <v>250.0</v>
      </c>
      <c r="D152" s="239" t="s">
        <v>102</v>
      </c>
      <c r="E152" s="250" t="s">
        <v>200</v>
      </c>
      <c r="F152" s="233"/>
      <c r="G152" s="240"/>
      <c r="H152" s="241"/>
      <c r="I152" s="241"/>
      <c r="J152" s="241"/>
      <c r="K152" s="230"/>
      <c r="L152" s="242"/>
      <c r="M152" s="237"/>
      <c r="N152" s="237"/>
      <c r="O152" s="237"/>
      <c r="P152" s="237"/>
    </row>
    <row r="153" ht="21.0" customHeight="1">
      <c r="A153" s="224"/>
      <c r="B153" s="243"/>
      <c r="C153" s="239">
        <v>1120.0</v>
      </c>
      <c r="D153" s="239" t="s">
        <v>98</v>
      </c>
      <c r="E153" s="251"/>
      <c r="F153" s="233"/>
      <c r="G153" s="240"/>
      <c r="H153" s="241"/>
      <c r="I153" s="241"/>
      <c r="J153" s="241"/>
      <c r="K153" s="230"/>
      <c r="L153" s="242"/>
      <c r="M153" s="237"/>
      <c r="N153" s="237"/>
      <c r="O153" s="237"/>
      <c r="P153" s="237"/>
    </row>
    <row r="154" ht="21.75" customHeight="1">
      <c r="A154" s="224"/>
      <c r="B154" s="243"/>
      <c r="C154" s="239">
        <v>400.0</v>
      </c>
      <c r="D154" s="239" t="s">
        <v>102</v>
      </c>
      <c r="E154" s="250">
        <v>406.0</v>
      </c>
      <c r="F154" s="233"/>
      <c r="G154" s="240"/>
      <c r="H154" s="241"/>
      <c r="I154" s="241"/>
      <c r="J154" s="241"/>
      <c r="K154" s="230"/>
      <c r="L154" s="242"/>
      <c r="M154" s="237"/>
      <c r="N154" s="237"/>
      <c r="O154" s="237"/>
      <c r="P154" s="246"/>
    </row>
    <row r="155" ht="21.0" customHeight="1">
      <c r="A155" s="224"/>
      <c r="B155" s="243"/>
      <c r="C155" s="239">
        <v>60.0</v>
      </c>
      <c r="D155" s="239" t="s">
        <v>157</v>
      </c>
      <c r="E155" s="251"/>
      <c r="F155" s="233"/>
      <c r="G155" s="240"/>
      <c r="H155" s="241"/>
      <c r="I155" s="241"/>
      <c r="J155" s="241"/>
      <c r="K155" s="230"/>
      <c r="L155" s="247"/>
      <c r="M155" s="237"/>
      <c r="N155" s="237"/>
      <c r="O155" s="237"/>
      <c r="P155" s="237"/>
    </row>
    <row r="156" ht="21.0" customHeight="1">
      <c r="A156" s="224"/>
      <c r="B156" s="243"/>
      <c r="C156" s="239">
        <v>584.0</v>
      </c>
      <c r="D156" s="239" t="s">
        <v>98</v>
      </c>
      <c r="E156" s="250" t="s">
        <v>245</v>
      </c>
      <c r="F156" s="233"/>
      <c r="G156" s="240"/>
      <c r="H156" s="241"/>
      <c r="I156" s="241"/>
      <c r="J156" s="241"/>
      <c r="K156" s="230"/>
      <c r="L156" s="242"/>
      <c r="M156" s="237"/>
      <c r="N156" s="237"/>
      <c r="O156" s="237"/>
      <c r="P156" s="237"/>
    </row>
    <row r="157" ht="21.0" customHeight="1">
      <c r="A157" s="224"/>
      <c r="B157" s="243"/>
      <c r="C157" s="239">
        <v>520.0</v>
      </c>
      <c r="D157" s="239" t="s">
        <v>102</v>
      </c>
      <c r="E157" s="251"/>
      <c r="F157" s="233"/>
      <c r="G157" s="240"/>
      <c r="H157" s="241"/>
      <c r="I157" s="241"/>
      <c r="J157" s="241"/>
      <c r="K157" s="230"/>
      <c r="L157" s="242"/>
      <c r="M157" s="237"/>
      <c r="N157" s="237"/>
      <c r="O157" s="237"/>
      <c r="P157" s="237"/>
    </row>
    <row r="158" ht="21.0" customHeight="1">
      <c r="A158" s="224"/>
      <c r="B158" s="243"/>
      <c r="C158" s="239">
        <v>650.0</v>
      </c>
      <c r="D158" s="239" t="s">
        <v>98</v>
      </c>
      <c r="E158" s="250">
        <v>308.0</v>
      </c>
      <c r="F158" s="233"/>
      <c r="G158" s="240"/>
      <c r="H158" s="241"/>
      <c r="I158" s="241"/>
      <c r="J158" s="241"/>
      <c r="K158" s="230"/>
      <c r="L158" s="242"/>
      <c r="M158" s="237"/>
      <c r="N158" s="237"/>
      <c r="O158" s="237"/>
      <c r="P158" s="237"/>
    </row>
    <row r="159" ht="21.0" customHeight="1">
      <c r="A159" s="224"/>
      <c r="B159" s="243"/>
      <c r="C159" s="239">
        <v>130.0</v>
      </c>
      <c r="D159" s="239" t="s">
        <v>102</v>
      </c>
      <c r="E159" s="251"/>
      <c r="F159" s="233"/>
      <c r="G159" s="240"/>
      <c r="H159" s="241"/>
      <c r="I159" s="241"/>
      <c r="J159" s="241"/>
      <c r="K159" s="230"/>
      <c r="L159" s="242"/>
      <c r="M159" s="237"/>
      <c r="N159" s="237"/>
      <c r="O159" s="237"/>
      <c r="P159" s="246"/>
    </row>
    <row r="160" ht="21.0" customHeight="1">
      <c r="A160" s="224"/>
      <c r="B160" s="255"/>
      <c r="C160" s="256"/>
      <c r="D160" s="256"/>
      <c r="E160" s="256"/>
      <c r="F160" s="233"/>
      <c r="G160" s="240"/>
      <c r="H160" s="241"/>
      <c r="I160" s="241"/>
      <c r="J160" s="241"/>
      <c r="K160" s="230"/>
      <c r="L160" s="247"/>
      <c r="M160" s="237"/>
      <c r="N160" s="237"/>
      <c r="O160" s="237"/>
      <c r="P160" s="237"/>
    </row>
    <row r="161" ht="21.0" customHeight="1">
      <c r="A161" s="224"/>
      <c r="B161" s="238">
        <v>46069.0</v>
      </c>
      <c r="C161" s="239">
        <v>40.0</v>
      </c>
      <c r="D161" s="239" t="s">
        <v>106</v>
      </c>
      <c r="E161" s="239" t="s">
        <v>175</v>
      </c>
      <c r="F161" s="233"/>
      <c r="G161" s="240"/>
      <c r="H161" s="241"/>
      <c r="I161" s="241"/>
      <c r="J161" s="241"/>
      <c r="K161" s="230"/>
      <c r="L161" s="242"/>
      <c r="M161" s="237"/>
      <c r="N161" s="237"/>
      <c r="O161" s="237"/>
      <c r="P161" s="237"/>
    </row>
    <row r="162" ht="21.0" customHeight="1">
      <c r="A162" s="224"/>
      <c r="B162" s="243"/>
      <c r="C162" s="239">
        <v>3000.0</v>
      </c>
      <c r="D162" s="239" t="s">
        <v>225</v>
      </c>
      <c r="E162" s="239" t="s">
        <v>246</v>
      </c>
      <c r="F162" s="233"/>
      <c r="G162" s="240"/>
      <c r="H162" s="241"/>
      <c r="I162" s="241"/>
      <c r="J162" s="241"/>
      <c r="K162" s="230"/>
      <c r="L162" s="242"/>
      <c r="M162" s="237"/>
      <c r="N162" s="237"/>
      <c r="O162" s="237"/>
      <c r="P162" s="237"/>
    </row>
    <row r="163" ht="21.0" customHeight="1">
      <c r="A163" s="224"/>
      <c r="B163" s="243"/>
      <c r="C163" s="239">
        <v>70.0</v>
      </c>
      <c r="D163" s="239" t="s">
        <v>102</v>
      </c>
      <c r="E163" s="239" t="s">
        <v>198</v>
      </c>
      <c r="F163" s="233"/>
      <c r="G163" s="240"/>
      <c r="H163" s="241"/>
      <c r="I163" s="241"/>
      <c r="J163" s="241"/>
      <c r="K163" s="230"/>
      <c r="L163" s="242"/>
      <c r="M163" s="237"/>
      <c r="N163" s="237"/>
      <c r="O163" s="237"/>
      <c r="P163" s="237"/>
    </row>
    <row r="164" ht="21.0" customHeight="1">
      <c r="A164" s="224"/>
      <c r="B164" s="243"/>
      <c r="C164" s="239">
        <v>40.0</v>
      </c>
      <c r="D164" s="239" t="s">
        <v>98</v>
      </c>
      <c r="E164" s="250" t="s">
        <v>109</v>
      </c>
      <c r="F164" s="233"/>
      <c r="G164" s="240"/>
      <c r="H164" s="241"/>
      <c r="I164" s="241"/>
      <c r="J164" s="241"/>
      <c r="K164" s="230"/>
      <c r="L164" s="242"/>
      <c r="M164" s="237"/>
      <c r="N164" s="237"/>
      <c r="O164" s="237"/>
      <c r="P164" s="246"/>
    </row>
    <row r="165" ht="21.0" customHeight="1">
      <c r="A165" s="224"/>
      <c r="B165" s="243"/>
      <c r="C165" s="239">
        <v>30.0</v>
      </c>
      <c r="D165" s="239" t="s">
        <v>102</v>
      </c>
      <c r="E165" s="251"/>
      <c r="F165" s="233"/>
      <c r="G165" s="240"/>
      <c r="H165" s="241"/>
      <c r="I165" s="241"/>
      <c r="J165" s="241"/>
      <c r="K165" s="230"/>
      <c r="L165" s="242"/>
      <c r="M165" s="237"/>
      <c r="N165" s="237"/>
      <c r="O165" s="237"/>
      <c r="P165" s="237"/>
    </row>
    <row r="166" ht="21.75" customHeight="1">
      <c r="A166" s="224"/>
      <c r="B166" s="243"/>
      <c r="C166" s="239">
        <v>20.0</v>
      </c>
      <c r="D166" s="239" t="s">
        <v>106</v>
      </c>
      <c r="E166" s="239" t="s">
        <v>247</v>
      </c>
      <c r="F166" s="233"/>
      <c r="G166" s="240"/>
      <c r="H166" s="241"/>
      <c r="I166" s="241"/>
      <c r="J166" s="241"/>
      <c r="K166" s="230"/>
      <c r="L166" s="242"/>
      <c r="M166" s="237"/>
      <c r="N166" s="237"/>
      <c r="O166" s="237"/>
      <c r="P166" s="246"/>
    </row>
    <row r="167" ht="21.0" customHeight="1">
      <c r="A167" s="224"/>
      <c r="B167" s="243"/>
      <c r="C167" s="239">
        <v>325.0</v>
      </c>
      <c r="D167" s="239" t="s">
        <v>98</v>
      </c>
      <c r="E167" s="250" t="s">
        <v>143</v>
      </c>
      <c r="F167" s="233"/>
      <c r="G167" s="240"/>
      <c r="H167" s="241"/>
      <c r="I167" s="241"/>
      <c r="J167" s="241"/>
      <c r="K167" s="230"/>
      <c r="L167" s="247"/>
      <c r="M167" s="237"/>
      <c r="N167" s="237"/>
      <c r="O167" s="237"/>
      <c r="P167" s="237"/>
    </row>
    <row r="168" ht="21.0" customHeight="1">
      <c r="A168" s="224"/>
      <c r="B168" s="243"/>
      <c r="C168" s="239">
        <v>70.0</v>
      </c>
      <c r="D168" s="239" t="s">
        <v>102</v>
      </c>
      <c r="E168" s="254"/>
      <c r="F168" s="233"/>
      <c r="G168" s="240"/>
      <c r="H168" s="241"/>
      <c r="I168" s="241"/>
      <c r="J168" s="241"/>
      <c r="K168" s="230"/>
      <c r="L168" s="242"/>
      <c r="M168" s="237"/>
      <c r="N168" s="237"/>
      <c r="O168" s="237"/>
      <c r="P168" s="237"/>
    </row>
    <row r="169" ht="21.0" customHeight="1">
      <c r="A169" s="224"/>
      <c r="B169" s="243"/>
      <c r="C169" s="239">
        <v>5.0</v>
      </c>
      <c r="D169" s="239" t="s">
        <v>157</v>
      </c>
      <c r="E169" s="251"/>
      <c r="F169" s="233"/>
      <c r="G169" s="241"/>
      <c r="H169" s="241"/>
      <c r="I169" s="241"/>
      <c r="J169" s="241"/>
      <c r="K169" s="230"/>
      <c r="L169" s="242"/>
      <c r="M169" s="237"/>
      <c r="N169" s="237"/>
      <c r="O169" s="237"/>
      <c r="P169" s="237"/>
    </row>
    <row r="170" ht="21.0" customHeight="1">
      <c r="A170" s="224"/>
      <c r="B170" s="243"/>
      <c r="C170" s="239">
        <v>60.0</v>
      </c>
      <c r="D170" s="239" t="s">
        <v>219</v>
      </c>
      <c r="E170" s="239" t="s">
        <v>244</v>
      </c>
      <c r="F170" s="233"/>
      <c r="G170" s="240"/>
      <c r="H170" s="241"/>
      <c r="I170" s="241"/>
      <c r="J170" s="241"/>
      <c r="K170" s="230"/>
      <c r="L170" s="242"/>
      <c r="M170" s="237"/>
      <c r="N170" s="237"/>
      <c r="O170" s="237"/>
      <c r="P170" s="237"/>
    </row>
    <row r="171" ht="21.0" customHeight="1">
      <c r="A171" s="224"/>
      <c r="B171" s="243"/>
      <c r="C171" s="239">
        <v>40.0</v>
      </c>
      <c r="D171" s="239" t="s">
        <v>102</v>
      </c>
      <c r="E171" s="239" t="s">
        <v>189</v>
      </c>
      <c r="F171" s="233"/>
      <c r="G171" s="240"/>
      <c r="H171" s="241"/>
      <c r="I171" s="241"/>
      <c r="J171" s="241"/>
      <c r="K171" s="230"/>
      <c r="L171" s="242"/>
      <c r="M171" s="237"/>
      <c r="N171" s="237"/>
      <c r="O171" s="237"/>
      <c r="P171" s="237"/>
    </row>
    <row r="172" ht="21.0" customHeight="1">
      <c r="A172" s="224"/>
      <c r="B172" s="243"/>
      <c r="C172" s="239">
        <v>110.0</v>
      </c>
      <c r="D172" s="239" t="s">
        <v>157</v>
      </c>
      <c r="E172" s="239" t="s">
        <v>248</v>
      </c>
      <c r="F172" s="233"/>
      <c r="G172" s="240"/>
      <c r="H172" s="241"/>
      <c r="I172" s="241"/>
      <c r="J172" s="241"/>
      <c r="K172" s="230"/>
      <c r="L172" s="247"/>
      <c r="M172" s="237"/>
      <c r="N172" s="237"/>
      <c r="O172" s="237"/>
      <c r="P172" s="237"/>
    </row>
    <row r="173" ht="21.0" customHeight="1">
      <c r="A173" s="224"/>
      <c r="B173" s="243"/>
      <c r="C173" s="239">
        <v>1100.0</v>
      </c>
      <c r="D173" s="239" t="s">
        <v>33</v>
      </c>
      <c r="E173" s="248"/>
      <c r="F173" s="233"/>
      <c r="G173" s="240"/>
      <c r="H173" s="241"/>
      <c r="I173" s="241"/>
      <c r="J173" s="241"/>
      <c r="K173" s="230"/>
      <c r="L173" s="242"/>
      <c r="M173" s="237"/>
      <c r="N173" s="237"/>
      <c r="O173" s="237"/>
      <c r="P173" s="237"/>
    </row>
    <row r="174" ht="21.0" customHeight="1">
      <c r="A174" s="224"/>
      <c r="B174" s="243"/>
      <c r="C174" s="239">
        <v>60.0</v>
      </c>
      <c r="D174" s="239" t="s">
        <v>102</v>
      </c>
      <c r="E174" s="239" t="s">
        <v>196</v>
      </c>
      <c r="F174" s="233"/>
      <c r="G174" s="240"/>
      <c r="H174" s="241"/>
      <c r="I174" s="241"/>
      <c r="J174" s="241"/>
      <c r="K174" s="230"/>
      <c r="L174" s="242"/>
      <c r="M174" s="237"/>
      <c r="N174" s="237"/>
      <c r="O174" s="237"/>
      <c r="P174" s="237"/>
    </row>
    <row r="175" ht="21.0" customHeight="1">
      <c r="A175" s="224"/>
      <c r="B175" s="243"/>
      <c r="C175" s="239">
        <v>60.0</v>
      </c>
      <c r="D175" s="239" t="s">
        <v>98</v>
      </c>
      <c r="E175" s="239" t="s">
        <v>196</v>
      </c>
      <c r="F175" s="233"/>
      <c r="G175" s="240"/>
      <c r="H175" s="241"/>
      <c r="I175" s="241"/>
      <c r="J175" s="241"/>
      <c r="K175" s="230"/>
      <c r="L175" s="242"/>
      <c r="M175" s="237"/>
      <c r="N175" s="237"/>
      <c r="O175" s="237"/>
      <c r="P175" s="237"/>
    </row>
    <row r="176" ht="21.0" customHeight="1">
      <c r="A176" s="224"/>
      <c r="B176" s="243"/>
      <c r="C176" s="239">
        <v>40.0</v>
      </c>
      <c r="D176" s="239" t="s">
        <v>157</v>
      </c>
      <c r="E176" s="239" t="s">
        <v>196</v>
      </c>
      <c r="F176" s="268"/>
      <c r="G176" s="240"/>
      <c r="H176" s="241"/>
      <c r="I176" s="241"/>
      <c r="J176" s="241"/>
      <c r="K176" s="230"/>
      <c r="L176" s="242"/>
      <c r="M176" s="237"/>
      <c r="N176" s="237"/>
      <c r="O176" s="237"/>
      <c r="P176" s="237"/>
    </row>
    <row r="177" ht="21.0" customHeight="1">
      <c r="A177" s="224"/>
      <c r="B177" s="243"/>
      <c r="C177" s="239">
        <v>380.0</v>
      </c>
      <c r="D177" s="239" t="s">
        <v>157</v>
      </c>
      <c r="E177" s="250" t="s">
        <v>249</v>
      </c>
      <c r="F177" s="268"/>
      <c r="G177" s="240"/>
      <c r="H177" s="241"/>
      <c r="I177" s="241"/>
      <c r="J177" s="241"/>
      <c r="K177" s="230"/>
      <c r="L177" s="242"/>
      <c r="M177" s="237"/>
      <c r="N177" s="237"/>
      <c r="O177" s="237"/>
      <c r="P177" s="246"/>
    </row>
    <row r="178" ht="21.0" customHeight="1">
      <c r="A178" s="224"/>
      <c r="B178" s="243"/>
      <c r="C178" s="239">
        <v>200.0</v>
      </c>
      <c r="D178" s="239" t="s">
        <v>216</v>
      </c>
      <c r="E178" s="254"/>
      <c r="F178" s="268"/>
      <c r="G178" s="240"/>
      <c r="H178" s="241"/>
      <c r="I178" s="241"/>
      <c r="J178" s="241"/>
      <c r="K178" s="230"/>
      <c r="L178" s="247"/>
      <c r="M178" s="237"/>
      <c r="N178" s="237"/>
      <c r="O178" s="237"/>
      <c r="P178" s="237"/>
    </row>
    <row r="179" ht="21.0" customHeight="1">
      <c r="A179" s="224"/>
      <c r="B179" s="243"/>
      <c r="C179" s="239">
        <v>100.0</v>
      </c>
      <c r="D179" s="239" t="s">
        <v>243</v>
      </c>
      <c r="E179" s="254"/>
      <c r="F179" s="268"/>
      <c r="G179" s="240"/>
      <c r="H179" s="241"/>
      <c r="I179" s="241"/>
      <c r="J179" s="241"/>
      <c r="K179" s="230"/>
      <c r="L179" s="242"/>
      <c r="M179" s="237"/>
      <c r="N179" s="237"/>
      <c r="O179" s="237"/>
      <c r="P179" s="237"/>
    </row>
    <row r="180" ht="21.0" customHeight="1">
      <c r="A180" s="224"/>
      <c r="B180" s="243"/>
      <c r="C180" s="239">
        <v>320.0</v>
      </c>
      <c r="D180" s="239" t="s">
        <v>102</v>
      </c>
      <c r="E180" s="251"/>
      <c r="F180" s="268"/>
      <c r="G180" s="240"/>
      <c r="H180" s="241"/>
      <c r="I180" s="241"/>
      <c r="J180" s="241"/>
      <c r="K180" s="230"/>
      <c r="L180" s="242"/>
      <c r="M180" s="237"/>
      <c r="N180" s="237"/>
      <c r="O180" s="237"/>
      <c r="P180" s="237"/>
    </row>
    <row r="181" ht="21.0" customHeight="1">
      <c r="A181" s="224"/>
      <c r="B181" s="243"/>
      <c r="C181" s="248"/>
      <c r="D181" s="248"/>
      <c r="E181" s="248"/>
      <c r="F181" s="268"/>
      <c r="G181" s="240"/>
      <c r="H181" s="241"/>
      <c r="I181" s="241"/>
      <c r="J181" s="241"/>
      <c r="K181" s="230"/>
      <c r="L181" s="242"/>
      <c r="M181" s="237"/>
      <c r="N181" s="237"/>
      <c r="O181" s="237"/>
      <c r="P181" s="237"/>
    </row>
    <row r="182" ht="21.0" customHeight="1">
      <c r="A182" s="224"/>
      <c r="B182" s="243"/>
      <c r="C182" s="248"/>
      <c r="D182" s="248"/>
      <c r="E182" s="248"/>
      <c r="F182" s="269"/>
      <c r="G182" s="240"/>
      <c r="H182" s="241"/>
      <c r="I182" s="241"/>
      <c r="J182" s="241"/>
      <c r="K182" s="230"/>
      <c r="L182" s="242"/>
      <c r="M182" s="237"/>
      <c r="N182" s="237"/>
      <c r="O182" s="237"/>
      <c r="P182" s="237"/>
    </row>
    <row r="183" ht="21.0" customHeight="1">
      <c r="A183" s="224"/>
      <c r="B183" s="243"/>
      <c r="C183" s="248"/>
      <c r="D183" s="248"/>
      <c r="E183" s="248"/>
      <c r="F183" s="269"/>
      <c r="G183" s="240"/>
      <c r="H183" s="241"/>
      <c r="I183" s="241"/>
      <c r="J183" s="241"/>
      <c r="K183" s="230"/>
      <c r="L183" s="242"/>
      <c r="M183" s="237"/>
      <c r="N183" s="237"/>
      <c r="O183" s="237"/>
      <c r="P183" s="237"/>
    </row>
    <row r="184" ht="21.0" customHeight="1">
      <c r="A184" s="224"/>
      <c r="B184" s="243"/>
      <c r="C184" s="248"/>
      <c r="D184" s="248"/>
      <c r="E184" s="248"/>
      <c r="F184" s="269"/>
      <c r="G184" s="240"/>
      <c r="H184" s="241"/>
      <c r="I184" s="241"/>
      <c r="J184" s="241"/>
      <c r="K184" s="230"/>
      <c r="L184" s="242"/>
      <c r="M184" s="237"/>
      <c r="N184" s="237"/>
      <c r="O184" s="237"/>
      <c r="P184" s="237"/>
    </row>
    <row r="185" ht="21.0" customHeight="1">
      <c r="A185" s="224"/>
      <c r="B185" s="243"/>
      <c r="C185" s="248"/>
      <c r="D185" s="248"/>
      <c r="E185" s="248"/>
      <c r="F185" s="270"/>
      <c r="G185" s="240"/>
      <c r="H185" s="265"/>
      <c r="I185" s="241"/>
      <c r="J185" s="241"/>
      <c r="K185" s="230"/>
      <c r="L185" s="224"/>
      <c r="M185" s="271"/>
      <c r="N185" s="271"/>
      <c r="O185" s="271"/>
      <c r="P185" s="224"/>
    </row>
    <row r="186" ht="21.0" customHeight="1">
      <c r="A186" s="224"/>
      <c r="B186" s="243"/>
      <c r="C186" s="248"/>
      <c r="D186" s="248"/>
      <c r="E186" s="248"/>
      <c r="F186" s="270"/>
      <c r="G186" s="240"/>
      <c r="H186" s="241"/>
      <c r="I186" s="241"/>
      <c r="J186" s="241"/>
      <c r="K186" s="230"/>
      <c r="L186" s="224"/>
      <c r="M186" s="272" t="s">
        <v>250</v>
      </c>
      <c r="N186" s="272">
        <f>SUM(M4:M184)</f>
        <v>23728.5</v>
      </c>
      <c r="O186" s="224"/>
      <c r="P186" s="224"/>
    </row>
    <row r="187" ht="21.0" customHeight="1">
      <c r="A187" s="224"/>
      <c r="B187" s="243"/>
      <c r="C187" s="248"/>
      <c r="D187" s="248"/>
      <c r="E187" s="248"/>
      <c r="F187" s="270"/>
      <c r="G187" s="240"/>
      <c r="H187" s="241"/>
      <c r="I187" s="241"/>
      <c r="J187" s="241"/>
      <c r="K187" s="230"/>
      <c r="L187" s="224"/>
      <c r="M187" s="273" t="s">
        <v>96</v>
      </c>
      <c r="N187" s="273">
        <f>SUMIF(N4:N184,"GARAGE",M4:M184)</f>
        <v>5349.5</v>
      </c>
      <c r="O187" s="224"/>
      <c r="P187" s="224"/>
    </row>
    <row r="188" ht="21.0" customHeight="1">
      <c r="A188" s="224"/>
      <c r="B188" s="243"/>
      <c r="C188" s="248"/>
      <c r="D188" s="248"/>
      <c r="E188" s="248"/>
      <c r="F188" s="270"/>
      <c r="G188" s="240"/>
      <c r="H188" s="241"/>
      <c r="I188" s="241"/>
      <c r="J188" s="241"/>
      <c r="K188" s="230"/>
      <c r="L188" s="224"/>
      <c r="M188" s="274" t="s">
        <v>251</v>
      </c>
      <c r="N188" s="274">
        <f>SUMIF(N4:N184,"FOURNISSEUR",M4:M184)</f>
        <v>9344</v>
      </c>
      <c r="O188" s="224"/>
      <c r="P188" s="224"/>
    </row>
    <row r="189" ht="22.5" customHeight="1">
      <c r="A189" s="224"/>
      <c r="B189" s="243"/>
      <c r="C189" s="248"/>
      <c r="D189" s="248"/>
      <c r="E189" s="248"/>
      <c r="F189" s="270"/>
      <c r="G189" s="241"/>
      <c r="H189" s="241"/>
      <c r="I189" s="241"/>
      <c r="J189" s="241"/>
      <c r="K189" s="230"/>
      <c r="L189" s="224"/>
      <c r="M189" s="275" t="s">
        <v>252</v>
      </c>
      <c r="N189" s="275">
        <f>SUMIF(N4:N184,"DEPENSE VOITURE",M4:M184)</f>
        <v>6485</v>
      </c>
      <c r="O189" s="224"/>
      <c r="P189" s="224"/>
    </row>
    <row r="190" ht="21.0" customHeight="1">
      <c r="A190" s="224"/>
      <c r="B190" s="243"/>
      <c r="C190" s="248"/>
      <c r="D190" s="248"/>
      <c r="E190" s="248"/>
      <c r="F190" s="269"/>
      <c r="G190" s="241"/>
      <c r="H190" s="241"/>
      <c r="I190" s="241"/>
      <c r="J190" s="241"/>
      <c r="K190" s="230"/>
      <c r="L190" s="224"/>
      <c r="M190" s="276" t="s">
        <v>157</v>
      </c>
      <c r="N190" s="276">
        <f>SUMIF(N4:N184,"PRODUIT",M4:M184)</f>
        <v>0</v>
      </c>
      <c r="O190" s="224"/>
      <c r="P190" s="224"/>
    </row>
    <row r="191" ht="21.0" customHeight="1">
      <c r="A191" s="224"/>
      <c r="B191" s="243"/>
      <c r="C191" s="248"/>
      <c r="D191" s="248"/>
      <c r="E191" s="248"/>
      <c r="F191" s="269"/>
      <c r="G191" s="266"/>
      <c r="H191" s="241"/>
      <c r="I191" s="241"/>
      <c r="J191" s="241"/>
      <c r="K191" s="230"/>
      <c r="L191" s="224"/>
      <c r="M191" s="241" t="s">
        <v>253</v>
      </c>
      <c r="N191" s="277">
        <f>SUMIF(N4:N184,"YASSINE",M4:P184)</f>
        <v>2500</v>
      </c>
      <c r="O191" s="224"/>
      <c r="P191" s="224"/>
    </row>
    <row r="192" ht="21.0" customHeight="1">
      <c r="A192" s="224"/>
      <c r="B192" s="243"/>
      <c r="C192" s="248"/>
      <c r="D192" s="248"/>
      <c r="E192" s="248"/>
      <c r="F192" s="269"/>
      <c r="G192" s="241"/>
      <c r="H192" s="241"/>
      <c r="I192" s="241"/>
      <c r="J192" s="241"/>
      <c r="K192" s="230"/>
      <c r="L192" s="271"/>
      <c r="M192" s="271"/>
      <c r="N192" s="271"/>
      <c r="O192" s="271"/>
      <c r="P192" s="271"/>
    </row>
    <row r="193" ht="21.0" customHeight="1">
      <c r="A193" s="224"/>
      <c r="B193" s="243"/>
      <c r="C193" s="248"/>
      <c r="D193" s="248"/>
      <c r="E193" s="248"/>
      <c r="F193" s="269"/>
      <c r="G193" s="240"/>
      <c r="H193" s="241"/>
      <c r="I193" s="241"/>
      <c r="J193" s="241"/>
      <c r="K193" s="230"/>
      <c r="L193" s="224"/>
      <c r="M193" s="278"/>
      <c r="N193" s="278"/>
      <c r="O193" s="224"/>
      <c r="P193" s="224"/>
    </row>
    <row r="194" ht="21.0" customHeight="1">
      <c r="A194" s="224"/>
      <c r="B194" s="243"/>
      <c r="C194" s="248"/>
      <c r="D194" s="248"/>
      <c r="E194" s="248"/>
      <c r="F194" s="269"/>
      <c r="G194" s="240"/>
      <c r="H194" s="241"/>
      <c r="I194" s="241"/>
      <c r="J194" s="241"/>
      <c r="K194" s="230"/>
      <c r="L194" s="271"/>
      <c r="M194" s="271"/>
      <c r="N194" s="271"/>
      <c r="O194" s="271"/>
      <c r="P194" s="271"/>
    </row>
    <row r="195" ht="21.0" customHeight="1">
      <c r="A195" s="224"/>
      <c r="B195" s="243"/>
      <c r="C195" s="248"/>
      <c r="D195" s="248"/>
      <c r="E195" s="248"/>
      <c r="F195" s="269"/>
      <c r="G195" s="261"/>
      <c r="H195" s="241"/>
      <c r="I195" s="241"/>
      <c r="J195" s="241"/>
      <c r="K195" s="230"/>
      <c r="L195" s="271"/>
      <c r="M195" s="271"/>
      <c r="N195" s="271"/>
      <c r="O195" s="271"/>
      <c r="P195" s="271"/>
    </row>
    <row r="196" ht="21.0" customHeight="1">
      <c r="A196" s="224"/>
      <c r="B196" s="243"/>
      <c r="C196" s="248"/>
      <c r="D196" s="248"/>
      <c r="E196" s="248"/>
      <c r="F196" s="269"/>
      <c r="G196" s="240"/>
      <c r="H196" s="241"/>
      <c r="I196" s="241"/>
      <c r="J196" s="241"/>
      <c r="K196" s="230"/>
      <c r="L196" s="271"/>
      <c r="M196" s="271"/>
      <c r="N196" s="271"/>
      <c r="O196" s="271"/>
      <c r="P196" s="271"/>
    </row>
    <row r="197" ht="21.0" customHeight="1">
      <c r="A197" s="224"/>
      <c r="B197" s="243"/>
      <c r="C197" s="248"/>
      <c r="D197" s="248"/>
      <c r="E197" s="248"/>
      <c r="F197" s="269"/>
      <c r="G197" s="240"/>
      <c r="H197" s="241"/>
      <c r="I197" s="241"/>
      <c r="J197" s="241"/>
      <c r="K197" s="230"/>
      <c r="L197" s="271"/>
      <c r="M197" s="271"/>
      <c r="N197" s="271"/>
      <c r="O197" s="271"/>
      <c r="P197" s="271"/>
    </row>
    <row r="198" ht="21.0" customHeight="1">
      <c r="A198" s="224"/>
      <c r="B198" s="243"/>
      <c r="C198" s="248"/>
      <c r="D198" s="248"/>
      <c r="E198" s="248"/>
      <c r="F198" s="270"/>
      <c r="G198" s="240"/>
      <c r="H198" s="241"/>
      <c r="I198" s="241"/>
      <c r="J198" s="241"/>
      <c r="K198" s="230"/>
      <c r="L198" s="271"/>
      <c r="M198" s="271"/>
      <c r="N198" s="271"/>
      <c r="O198" s="271"/>
      <c r="P198" s="271"/>
    </row>
    <row r="199" ht="21.0" customHeight="1">
      <c r="A199" s="224"/>
      <c r="B199" s="243"/>
      <c r="C199" s="248"/>
      <c r="D199" s="248"/>
      <c r="E199" s="248"/>
      <c r="F199" s="269"/>
      <c r="G199" s="240"/>
      <c r="H199" s="241"/>
      <c r="I199" s="241"/>
      <c r="J199" s="241"/>
      <c r="K199" s="230"/>
      <c r="L199" s="271"/>
      <c r="M199" s="271"/>
      <c r="N199" s="271"/>
      <c r="O199" s="271"/>
      <c r="P199" s="271"/>
    </row>
    <row r="200" ht="21.0" customHeight="1">
      <c r="A200" s="224"/>
      <c r="B200" s="243"/>
      <c r="C200" s="248"/>
      <c r="D200" s="248"/>
      <c r="E200" s="248"/>
      <c r="F200" s="269"/>
      <c r="G200" s="240"/>
      <c r="H200" s="241"/>
      <c r="I200" s="241"/>
      <c r="J200" s="241"/>
      <c r="K200" s="230"/>
      <c r="L200" s="271"/>
      <c r="M200" s="271"/>
      <c r="N200" s="271"/>
      <c r="O200" s="271"/>
      <c r="P200" s="271"/>
    </row>
    <row r="201" ht="21.0" customHeight="1">
      <c r="A201" s="224"/>
      <c r="B201" s="279"/>
      <c r="C201" s="224"/>
      <c r="D201" s="224"/>
      <c r="E201" s="224"/>
      <c r="F201" s="280"/>
      <c r="G201" s="240"/>
      <c r="H201" s="241"/>
      <c r="I201" s="241"/>
      <c r="J201" s="241"/>
      <c r="K201" s="268"/>
      <c r="L201" s="271"/>
      <c r="M201" s="271"/>
      <c r="N201" s="271"/>
      <c r="O201" s="271"/>
      <c r="P201" s="271"/>
    </row>
    <row r="202" ht="21.0" customHeight="1">
      <c r="A202" s="224"/>
      <c r="B202" s="281"/>
      <c r="C202" s="272" t="s">
        <v>41</v>
      </c>
      <c r="D202" s="282">
        <v>730.0</v>
      </c>
      <c r="E202" s="224"/>
      <c r="F202" s="280"/>
      <c r="G202" s="224"/>
      <c r="H202" s="224"/>
      <c r="I202" s="224"/>
      <c r="J202" s="224"/>
      <c r="K202" s="268"/>
      <c r="L202" s="271"/>
      <c r="M202" s="271"/>
      <c r="N202" s="271"/>
      <c r="O202" s="271"/>
      <c r="P202" s="271"/>
    </row>
    <row r="203" ht="21.0" customHeight="1">
      <c r="A203" s="224"/>
      <c r="B203" s="279"/>
      <c r="C203" s="283" t="s">
        <v>254</v>
      </c>
      <c r="D203" s="283">
        <f>SUM(C3:C200)</f>
        <v>42016</v>
      </c>
      <c r="E203" s="224"/>
      <c r="F203" s="280"/>
      <c r="G203" s="224"/>
      <c r="H203" s="224"/>
      <c r="I203" s="224"/>
      <c r="J203" s="224"/>
      <c r="K203" s="268"/>
      <c r="L203" s="271"/>
      <c r="M203" s="271"/>
      <c r="N203" s="271"/>
      <c r="O203" s="271"/>
      <c r="P203" s="271"/>
    </row>
    <row r="204" ht="21.0" customHeight="1">
      <c r="A204" s="224"/>
      <c r="B204" s="279"/>
      <c r="C204" s="273" t="s">
        <v>106</v>
      </c>
      <c r="D204" s="273">
        <f>SUMIF(D3:D200,"DIAG",C3:C200)</f>
        <v>2430</v>
      </c>
      <c r="E204" s="224"/>
      <c r="F204" s="280"/>
      <c r="G204" s="224"/>
      <c r="H204" s="284" t="s">
        <v>255</v>
      </c>
      <c r="I204" s="285">
        <v>4082.0</v>
      </c>
      <c r="J204" s="224"/>
      <c r="K204" s="268"/>
      <c r="L204" s="271"/>
      <c r="M204" s="271"/>
      <c r="N204" s="271"/>
      <c r="O204" s="271"/>
      <c r="P204" s="271"/>
    </row>
    <row r="205" ht="21.0" customHeight="1">
      <c r="A205" s="224"/>
      <c r="B205" s="279"/>
      <c r="C205" s="237" t="s">
        <v>102</v>
      </c>
      <c r="D205" s="237">
        <f>SUMIF(D3:D200,"MECA",C3:C200)</f>
        <v>15880</v>
      </c>
      <c r="E205" s="224"/>
      <c r="F205" s="280"/>
      <c r="G205" s="224"/>
      <c r="H205" s="283" t="s">
        <v>256</v>
      </c>
      <c r="I205" s="283">
        <f>SUM(H4:H201)</f>
        <v>0</v>
      </c>
      <c r="J205" s="224"/>
      <c r="K205" s="268"/>
      <c r="L205" s="271"/>
      <c r="M205" s="271"/>
      <c r="N205" s="271"/>
      <c r="O205" s="271"/>
      <c r="P205" s="271"/>
    </row>
    <row r="206" ht="21.0" customHeight="1">
      <c r="A206" s="224"/>
      <c r="B206" s="279"/>
      <c r="C206" s="274" t="s">
        <v>98</v>
      </c>
      <c r="D206" s="274">
        <f>SUMIF(D3:D200,"PIECES",C3:C200)</f>
        <v>13404</v>
      </c>
      <c r="E206" s="224"/>
      <c r="F206" s="280"/>
      <c r="G206" s="224"/>
      <c r="H206" s="273" t="s">
        <v>106</v>
      </c>
      <c r="I206" s="273">
        <f>SUMIF(I4:I201,"DIAG",H4:H201)</f>
        <v>0</v>
      </c>
      <c r="K206" s="268"/>
      <c r="L206" s="271"/>
      <c r="M206" s="271"/>
      <c r="N206" s="271"/>
      <c r="O206" s="271"/>
      <c r="P206" s="271"/>
    </row>
    <row r="207" ht="21.0" customHeight="1">
      <c r="A207" s="224"/>
      <c r="B207" s="279"/>
      <c r="C207" s="276" t="s">
        <v>157</v>
      </c>
      <c r="D207" s="276">
        <f>SUMIF(D3:D200,"PRODUIT",C3:C200)</f>
        <v>1212</v>
      </c>
      <c r="E207" s="224"/>
      <c r="F207" s="280"/>
      <c r="G207" s="224"/>
      <c r="H207" s="237" t="s">
        <v>102</v>
      </c>
      <c r="I207" s="237">
        <f>SUMIF(I4:I201,"MECA",H4:H201)</f>
        <v>0</v>
      </c>
      <c r="J207" s="224"/>
      <c r="K207" s="268"/>
      <c r="L207" s="271"/>
      <c r="M207" s="271"/>
      <c r="N207" s="271"/>
      <c r="O207" s="271"/>
      <c r="P207" s="271"/>
    </row>
    <row r="208" ht="21.0" customHeight="1">
      <c r="A208" s="224"/>
      <c r="B208" s="279"/>
      <c r="C208" s="286" t="s">
        <v>227</v>
      </c>
      <c r="D208" s="286">
        <f>SUMIF(D3:D200,"PROG",C3:C200)</f>
        <v>500</v>
      </c>
      <c r="E208" s="224"/>
      <c r="F208" s="280"/>
      <c r="G208" s="224"/>
      <c r="H208" s="274" t="s">
        <v>98</v>
      </c>
      <c r="I208" s="274">
        <f>SUMIF(I4:I201,"PIECES",H4:H201)</f>
        <v>0</v>
      </c>
      <c r="J208" s="224"/>
      <c r="K208" s="268"/>
      <c r="L208" s="271"/>
      <c r="M208" s="271"/>
      <c r="N208" s="271"/>
      <c r="O208" s="271"/>
      <c r="P208" s="271"/>
    </row>
    <row r="209" ht="21.0" customHeight="1">
      <c r="A209" s="224"/>
      <c r="B209" s="279"/>
      <c r="C209" s="287" t="s">
        <v>225</v>
      </c>
      <c r="D209" s="287">
        <f>SUMIF(D3:D200,"AVANCE",C3:C200)</f>
        <v>3300</v>
      </c>
      <c r="E209" s="224"/>
      <c r="F209" s="280"/>
      <c r="G209" s="224"/>
      <c r="H209" s="276" t="s">
        <v>157</v>
      </c>
      <c r="I209" s="276">
        <f>SUMIF(I4:I201,"PRODUIT",H4:H201)</f>
        <v>0</v>
      </c>
      <c r="J209" s="224"/>
      <c r="K209" s="268"/>
      <c r="L209" s="271"/>
      <c r="M209" s="271"/>
      <c r="N209" s="271"/>
      <c r="O209" s="271"/>
      <c r="P209" s="271"/>
    </row>
    <row r="210" ht="21.0" customHeight="1">
      <c r="A210" s="224"/>
      <c r="B210" s="279"/>
      <c r="C210" s="288" t="s">
        <v>257</v>
      </c>
      <c r="D210" s="288">
        <f>SUMIF(D3:D200,"pieces garage",C3:C200)</f>
        <v>480</v>
      </c>
      <c r="E210" s="224"/>
      <c r="F210" s="280"/>
      <c r="G210" s="224"/>
      <c r="H210" s="286" t="s">
        <v>227</v>
      </c>
      <c r="I210" s="286">
        <f>SUMIF(I4:I201,"PROG",H4:H201)</f>
        <v>0</v>
      </c>
      <c r="J210" s="224"/>
      <c r="K210" s="268"/>
      <c r="L210" s="271"/>
      <c r="M210" s="271"/>
      <c r="N210" s="271"/>
      <c r="O210" s="271"/>
      <c r="P210" s="271"/>
    </row>
    <row r="211" ht="21.0" customHeight="1">
      <c r="A211" s="224"/>
      <c r="B211" s="279"/>
      <c r="C211" s="289" t="s">
        <v>167</v>
      </c>
      <c r="D211" s="289">
        <f>SUMIF(D3:D200,"TVA ET TIMBRE",C3:C200)</f>
        <v>1244</v>
      </c>
      <c r="E211" s="224"/>
      <c r="F211" s="280"/>
      <c r="G211" s="224"/>
      <c r="H211" s="287" t="s">
        <v>225</v>
      </c>
      <c r="I211" s="287">
        <f>SUMIF(I4:I201,"AVANCE",H4:H201)</f>
        <v>0</v>
      </c>
      <c r="J211" s="224"/>
      <c r="K211" s="268"/>
      <c r="L211" s="271"/>
      <c r="M211" s="271"/>
      <c r="N211" s="271"/>
      <c r="O211" s="271"/>
      <c r="P211" s="271"/>
    </row>
    <row r="212" ht="21.0" customHeight="1">
      <c r="A212" s="224"/>
      <c r="B212" s="279"/>
      <c r="C212" s="290" t="s">
        <v>28</v>
      </c>
      <c r="D212" s="290">
        <f>SUMIF(D3:D200,"cours",C3:C200)</f>
        <v>3100</v>
      </c>
      <c r="E212" s="224"/>
      <c r="F212" s="280"/>
      <c r="G212" s="224"/>
      <c r="H212" s="288" t="s">
        <v>257</v>
      </c>
      <c r="I212" s="288">
        <f>SUMIF(I4:I201,"pieces garage",H4:H201)</f>
        <v>0</v>
      </c>
      <c r="J212" s="224"/>
      <c r="K212" s="268"/>
      <c r="L212" s="271"/>
      <c r="M212" s="271"/>
      <c r="N212" s="271"/>
      <c r="O212" s="271"/>
      <c r="P212" s="271"/>
    </row>
    <row r="213" ht="21.0" customHeight="1">
      <c r="A213" s="224"/>
      <c r="B213" s="279"/>
      <c r="C213" s="291" t="s">
        <v>207</v>
      </c>
      <c r="D213" s="291">
        <f>SUMIF(D3:D200,"YASSINE",C3:C200)</f>
        <v>0</v>
      </c>
      <c r="E213" s="224"/>
      <c r="F213" s="280"/>
      <c r="G213" s="224"/>
      <c r="H213" s="289" t="s">
        <v>167</v>
      </c>
      <c r="I213" s="289">
        <f>SUMIF(I4:I201,"TVA ET TIMBRE",H4:H201)</f>
        <v>0</v>
      </c>
      <c r="K213" s="268"/>
      <c r="L213" s="271"/>
      <c r="M213" s="271"/>
      <c r="N213" s="271"/>
      <c r="O213" s="271"/>
      <c r="P213" s="271"/>
    </row>
    <row r="214" ht="21.0" customHeight="1">
      <c r="A214" s="224"/>
      <c r="B214" s="279"/>
      <c r="C214" s="292" t="s">
        <v>258</v>
      </c>
      <c r="D214" s="292">
        <f>SUMIF(D3:D200,"DIAG ACHAT",C3:C200)</f>
        <v>300</v>
      </c>
      <c r="E214" s="224"/>
      <c r="F214" s="280"/>
      <c r="G214" s="224"/>
      <c r="H214" s="290" t="s">
        <v>28</v>
      </c>
      <c r="I214" s="290">
        <f>SUMIF(I4:I201,"cours",H4:H201)</f>
        <v>0</v>
      </c>
      <c r="J214" s="224"/>
      <c r="K214" s="268"/>
      <c r="L214" s="271"/>
      <c r="M214" s="271"/>
      <c r="N214" s="271"/>
      <c r="O214" s="271"/>
      <c r="P214" s="271"/>
    </row>
    <row r="215" ht="21.0" customHeight="1">
      <c r="A215" s="224"/>
      <c r="B215" s="279"/>
      <c r="C215" s="293" t="s">
        <v>243</v>
      </c>
      <c r="D215" s="293">
        <f>SUMIF(D4:D200,"BENEFICE PIECES",C4:C200)</f>
        <v>166</v>
      </c>
      <c r="E215" s="224"/>
      <c r="F215" s="280"/>
      <c r="G215" s="224"/>
      <c r="H215" s="291" t="s">
        <v>207</v>
      </c>
      <c r="I215" s="291">
        <f>SUMIF(I4:I201,"YASSINE",H4:H201)</f>
        <v>0</v>
      </c>
      <c r="K215" s="268"/>
      <c r="L215" s="271"/>
      <c r="M215" s="271"/>
      <c r="N215" s="271"/>
      <c r="O215" s="271"/>
      <c r="P215" s="271"/>
    </row>
    <row r="216" ht="21.0" customHeight="1">
      <c r="A216" s="224"/>
      <c r="B216" s="279"/>
      <c r="C216" s="224"/>
      <c r="D216" s="224"/>
      <c r="E216" s="224"/>
      <c r="F216" s="280"/>
      <c r="G216" s="224"/>
      <c r="H216" s="292" t="s">
        <v>258</v>
      </c>
      <c r="I216" s="292">
        <f>SUMIF(I4:I201,"DIAG ACHAT",H4:H201)</f>
        <v>0</v>
      </c>
      <c r="J216" s="224"/>
      <c r="K216" s="268"/>
      <c r="L216" s="271"/>
      <c r="M216" s="271"/>
      <c r="N216" s="271"/>
      <c r="O216" s="271"/>
      <c r="P216" s="271"/>
    </row>
    <row r="217" ht="21.0" customHeight="1">
      <c r="A217" s="294"/>
      <c r="B217" s="224"/>
      <c r="C217" s="224"/>
      <c r="D217" s="224"/>
      <c r="E217" s="224"/>
      <c r="F217" s="280"/>
      <c r="G217" s="224"/>
      <c r="H217" s="295" t="s">
        <v>243</v>
      </c>
      <c r="I217" s="295">
        <f>SUMIF(I4:I201,"BENEFICE PIECES",H4:H201)</f>
        <v>0</v>
      </c>
      <c r="J217" s="224"/>
      <c r="K217" s="268"/>
      <c r="L217" s="271"/>
      <c r="M217" s="271"/>
      <c r="N217" s="271"/>
      <c r="O217" s="271"/>
      <c r="P217" s="271"/>
    </row>
    <row r="218" ht="21.0" customHeight="1">
      <c r="A218" s="294"/>
      <c r="B218" s="224"/>
      <c r="C218" s="224"/>
      <c r="D218" s="224"/>
      <c r="E218" s="224"/>
      <c r="F218" s="280"/>
      <c r="G218" s="224"/>
      <c r="H218" s="224"/>
      <c r="I218" s="224"/>
      <c r="K218" s="268"/>
      <c r="L218" s="271"/>
      <c r="M218" s="271"/>
      <c r="N218" s="271"/>
      <c r="O218" s="271"/>
      <c r="P218" s="271"/>
    </row>
    <row r="219" ht="21.0" customHeight="1">
      <c r="A219" s="294"/>
      <c r="B219" s="224"/>
      <c r="C219" s="224"/>
      <c r="D219" s="224"/>
      <c r="E219" s="224"/>
      <c r="F219" s="280"/>
      <c r="G219" s="224"/>
      <c r="H219" s="224"/>
      <c r="I219" s="224"/>
      <c r="J219" s="224"/>
      <c r="K219" s="268"/>
      <c r="L219" s="271"/>
      <c r="M219" s="271"/>
      <c r="N219" s="271"/>
      <c r="O219" s="271"/>
      <c r="P219" s="271"/>
    </row>
    <row r="220" ht="21.0" customHeight="1">
      <c r="A220" s="294"/>
      <c r="B220" s="224"/>
      <c r="C220" s="224"/>
      <c r="D220" s="224"/>
      <c r="E220" s="224"/>
      <c r="F220" s="280"/>
      <c r="G220" s="224"/>
      <c r="H220" s="296"/>
      <c r="I220" s="224"/>
      <c r="J220" s="224"/>
      <c r="K220" s="268"/>
      <c r="L220" s="271"/>
      <c r="M220" s="271"/>
      <c r="N220" s="271"/>
      <c r="O220" s="271"/>
      <c r="P220" s="271"/>
    </row>
    <row r="221" ht="21.0" customHeight="1">
      <c r="A221" s="294"/>
      <c r="B221" s="224"/>
      <c r="C221" s="224"/>
      <c r="D221" s="224"/>
      <c r="E221" s="224"/>
      <c r="F221" s="280"/>
      <c r="G221" s="224"/>
      <c r="H221" s="224"/>
      <c r="I221" s="224"/>
      <c r="K221" s="268"/>
      <c r="L221" s="271"/>
      <c r="M221" s="271"/>
      <c r="N221" s="271"/>
      <c r="O221" s="271"/>
      <c r="P221" s="271"/>
    </row>
    <row r="222" ht="21.0" customHeight="1">
      <c r="A222" s="294"/>
      <c r="B222" s="224"/>
      <c r="C222" s="224"/>
      <c r="D222" s="224"/>
      <c r="E222" s="224"/>
      <c r="F222" s="280"/>
      <c r="G222" s="224"/>
      <c r="H222" s="224"/>
      <c r="I222" s="224"/>
      <c r="J222" s="224"/>
      <c r="K222" s="268"/>
      <c r="L222" s="271"/>
      <c r="M222" s="271"/>
      <c r="N222" s="271"/>
      <c r="O222" s="271"/>
      <c r="P222" s="271"/>
    </row>
    <row r="223" ht="21.0" customHeight="1">
      <c r="A223" s="294"/>
      <c r="B223" s="224"/>
      <c r="C223" s="224"/>
      <c r="D223" s="224"/>
      <c r="E223" s="224"/>
      <c r="F223" s="280"/>
      <c r="G223" s="224"/>
      <c r="H223" s="224"/>
      <c r="J223" s="224"/>
      <c r="K223" s="268"/>
      <c r="L223" s="271"/>
      <c r="M223" s="271"/>
      <c r="N223" s="271"/>
      <c r="O223" s="271"/>
      <c r="P223" s="271"/>
    </row>
    <row r="224" ht="21.0" customHeight="1">
      <c r="A224" s="294"/>
      <c r="B224" s="224"/>
      <c r="C224" s="224"/>
      <c r="D224" s="224"/>
      <c r="E224" s="224"/>
      <c r="F224" s="280"/>
      <c r="G224" s="224"/>
      <c r="H224" s="224"/>
      <c r="I224" s="224"/>
      <c r="J224" s="224"/>
      <c r="K224" s="268"/>
      <c r="L224" s="271"/>
      <c r="M224" s="271"/>
      <c r="N224" s="271"/>
      <c r="O224" s="271"/>
      <c r="P224" s="271"/>
    </row>
    <row r="225" ht="21.0" customHeight="1">
      <c r="A225" s="294"/>
      <c r="B225" s="224"/>
      <c r="C225" s="224"/>
      <c r="D225" s="224"/>
      <c r="E225" s="224"/>
      <c r="F225" s="280"/>
      <c r="G225" s="224"/>
      <c r="H225" s="224"/>
      <c r="I225" s="224"/>
      <c r="J225" s="224"/>
      <c r="K225" s="268"/>
      <c r="L225" s="271"/>
      <c r="M225" s="271"/>
      <c r="N225" s="271"/>
      <c r="O225" s="271"/>
      <c r="P225" s="271"/>
    </row>
    <row r="226" ht="21.0" customHeight="1">
      <c r="A226" s="294"/>
      <c r="B226" s="224"/>
      <c r="C226" s="224"/>
      <c r="D226" s="224"/>
      <c r="E226" s="224"/>
      <c r="F226" s="280"/>
      <c r="G226" s="224"/>
      <c r="H226" s="224"/>
      <c r="I226" s="224"/>
      <c r="J226" s="224"/>
      <c r="K226" s="268"/>
      <c r="L226" s="271"/>
      <c r="M226" s="271"/>
      <c r="N226" s="271"/>
      <c r="O226" s="271"/>
      <c r="P226" s="271"/>
    </row>
    <row r="227" ht="21.0" customHeight="1">
      <c r="A227" s="279"/>
      <c r="B227" s="224"/>
      <c r="C227" s="224"/>
      <c r="D227" s="224"/>
      <c r="E227" s="224"/>
      <c r="F227" s="268"/>
      <c r="G227" s="224"/>
      <c r="H227" s="224"/>
      <c r="I227" s="224"/>
      <c r="J227" s="224"/>
      <c r="K227" s="268"/>
      <c r="L227" s="271"/>
      <c r="M227" s="271"/>
      <c r="N227" s="271"/>
      <c r="O227" s="271"/>
      <c r="P227" s="271"/>
    </row>
    <row r="228" ht="21.0" customHeight="1">
      <c r="A228" s="279"/>
      <c r="B228" s="224"/>
      <c r="C228" s="224"/>
      <c r="D228" s="224"/>
      <c r="E228" s="279"/>
      <c r="F228" s="268"/>
      <c r="G228" s="224"/>
      <c r="H228" s="224"/>
      <c r="J228" s="224"/>
      <c r="K228" s="268"/>
      <c r="L228" s="271"/>
      <c r="M228" s="271"/>
      <c r="N228" s="271"/>
      <c r="O228" s="271"/>
      <c r="P228" s="271"/>
    </row>
    <row r="229" ht="21.0" customHeight="1">
      <c r="A229" s="224"/>
      <c r="B229" s="224"/>
      <c r="C229" s="224"/>
      <c r="D229" s="224"/>
      <c r="E229" s="224"/>
      <c r="F229" s="268"/>
      <c r="G229" s="224"/>
      <c r="H229" s="224"/>
      <c r="I229" s="224"/>
      <c r="J229" s="224"/>
      <c r="K229" s="268"/>
      <c r="L229" s="271"/>
      <c r="M229" s="271"/>
      <c r="N229" s="271"/>
      <c r="O229" s="271"/>
      <c r="P229" s="271"/>
    </row>
    <row r="230" ht="21.0" customHeight="1">
      <c r="A230" s="224"/>
      <c r="B230" s="224"/>
      <c r="C230" s="224"/>
      <c r="D230" s="224"/>
      <c r="E230" s="224"/>
      <c r="F230" s="268"/>
      <c r="G230" s="224"/>
      <c r="H230" s="224"/>
      <c r="I230" s="224"/>
      <c r="J230" s="224"/>
      <c r="K230" s="268"/>
      <c r="L230" s="271"/>
      <c r="M230" s="271"/>
      <c r="N230" s="271"/>
      <c r="O230" s="271"/>
      <c r="P230" s="271"/>
    </row>
    <row r="231" ht="21.0" customHeight="1">
      <c r="A231" s="224"/>
      <c r="B231" s="224"/>
      <c r="C231" s="224"/>
      <c r="D231" s="224"/>
      <c r="E231" s="224"/>
      <c r="F231" s="268"/>
      <c r="G231" s="224"/>
      <c r="H231" s="224"/>
      <c r="I231" s="224"/>
      <c r="J231" s="224"/>
      <c r="K231" s="268"/>
      <c r="L231" s="271"/>
      <c r="M231" s="271"/>
      <c r="N231" s="271"/>
      <c r="O231" s="271"/>
      <c r="P231" s="271"/>
    </row>
    <row r="232" ht="21.0" customHeight="1">
      <c r="A232" s="224"/>
      <c r="B232" s="224"/>
      <c r="C232" s="224"/>
      <c r="D232" s="224"/>
      <c r="E232" s="224"/>
      <c r="F232" s="268"/>
      <c r="G232" s="224"/>
      <c r="H232" s="224"/>
      <c r="I232" s="224"/>
      <c r="J232" s="224"/>
      <c r="K232" s="268"/>
      <c r="L232" s="271"/>
      <c r="M232" s="271"/>
      <c r="N232" s="271"/>
      <c r="O232" s="271"/>
      <c r="P232" s="271"/>
    </row>
    <row r="233" ht="21.0" customHeight="1">
      <c r="A233" s="224"/>
      <c r="B233" s="224"/>
      <c r="C233" s="224"/>
      <c r="D233" s="224"/>
      <c r="E233" s="224"/>
      <c r="F233" s="268"/>
      <c r="G233" s="224"/>
      <c r="H233" s="224"/>
      <c r="J233" s="224"/>
      <c r="K233" s="268"/>
      <c r="L233" s="271"/>
      <c r="M233" s="271"/>
      <c r="N233" s="271"/>
      <c r="O233" s="271"/>
      <c r="P233" s="271"/>
    </row>
    <row r="234" ht="21.0" customHeight="1">
      <c r="A234" s="224"/>
      <c r="B234" s="224"/>
      <c r="C234" s="224"/>
      <c r="D234" s="224"/>
      <c r="E234" s="224"/>
      <c r="F234" s="268"/>
      <c r="G234" s="224"/>
      <c r="H234" s="224"/>
      <c r="I234" s="224"/>
      <c r="J234" s="224"/>
      <c r="K234" s="268"/>
      <c r="L234" s="271"/>
      <c r="M234" s="271"/>
      <c r="N234" s="271"/>
      <c r="O234" s="271"/>
      <c r="P234" s="271"/>
    </row>
    <row r="235" ht="21.0" customHeight="1">
      <c r="A235" s="224"/>
      <c r="B235" s="224"/>
      <c r="C235" s="224"/>
      <c r="D235" s="224"/>
      <c r="E235" s="224"/>
      <c r="F235" s="268"/>
      <c r="G235" s="224"/>
      <c r="H235" s="224"/>
      <c r="I235" s="224"/>
      <c r="J235" s="224"/>
      <c r="K235" s="268"/>
      <c r="L235" s="271"/>
      <c r="M235" s="271"/>
      <c r="N235" s="271"/>
      <c r="O235" s="271"/>
      <c r="P235" s="271"/>
    </row>
    <row r="236" ht="21.0" customHeight="1">
      <c r="A236" s="224"/>
      <c r="B236" s="224"/>
      <c r="C236" s="224"/>
      <c r="D236" s="224"/>
      <c r="E236" s="224"/>
      <c r="F236" s="268"/>
      <c r="G236" s="224"/>
      <c r="H236" s="224"/>
      <c r="I236" s="224"/>
      <c r="J236" s="224"/>
      <c r="K236" s="268"/>
      <c r="L236" s="271"/>
      <c r="M236" s="271"/>
      <c r="N236" s="271"/>
      <c r="O236" s="271"/>
      <c r="P236" s="271"/>
    </row>
    <row r="237" ht="21.0" customHeight="1">
      <c r="A237" s="224"/>
      <c r="B237" s="224"/>
      <c r="C237" s="224"/>
      <c r="D237" s="224"/>
      <c r="E237" s="224"/>
      <c r="F237" s="268"/>
      <c r="G237" s="224"/>
      <c r="H237" s="224"/>
      <c r="I237" s="224"/>
      <c r="J237" s="224"/>
      <c r="K237" s="268"/>
      <c r="L237" s="271"/>
      <c r="M237" s="271"/>
      <c r="N237" s="271"/>
      <c r="O237" s="271"/>
      <c r="P237" s="271"/>
    </row>
    <row r="238" ht="21.0" customHeight="1">
      <c r="A238" s="224"/>
      <c r="B238" s="224"/>
      <c r="C238" s="224"/>
      <c r="D238" s="224"/>
      <c r="E238" s="224"/>
      <c r="F238" s="268"/>
      <c r="G238" s="224"/>
      <c r="H238" s="224"/>
      <c r="J238" s="224"/>
      <c r="K238" s="268"/>
      <c r="L238" s="271"/>
      <c r="M238" s="271"/>
      <c r="N238" s="271"/>
      <c r="O238" s="271"/>
      <c r="P238" s="271"/>
    </row>
  </sheetData>
  <mergeCells count="45">
    <mergeCell ref="B1:P1"/>
    <mergeCell ref="B2:J2"/>
    <mergeCell ref="L2:P2"/>
    <mergeCell ref="B3:E3"/>
    <mergeCell ref="G3:J3"/>
    <mergeCell ref="E22:E23"/>
    <mergeCell ref="E33:E34"/>
    <mergeCell ref="E36:E37"/>
    <mergeCell ref="E38:E40"/>
    <mergeCell ref="E45:E46"/>
    <mergeCell ref="E48:E49"/>
    <mergeCell ref="P57:P59"/>
    <mergeCell ref="E58:E59"/>
    <mergeCell ref="E67:E68"/>
    <mergeCell ref="E85:E88"/>
    <mergeCell ref="E92:E93"/>
    <mergeCell ref="E96:E97"/>
    <mergeCell ref="E98:E100"/>
    <mergeCell ref="E104:E105"/>
    <mergeCell ref="E109:E111"/>
    <mergeCell ref="E113:E114"/>
    <mergeCell ref="E119:E120"/>
    <mergeCell ref="E121:E123"/>
    <mergeCell ref="E125:E126"/>
    <mergeCell ref="E132:E136"/>
    <mergeCell ref="E137:E139"/>
    <mergeCell ref="E140:E141"/>
    <mergeCell ref="E144:E146"/>
    <mergeCell ref="E147:E149"/>
    <mergeCell ref="E152:E153"/>
    <mergeCell ref="E154:E155"/>
    <mergeCell ref="E156:E157"/>
    <mergeCell ref="E158:E159"/>
    <mergeCell ref="E164:E165"/>
    <mergeCell ref="E167:E169"/>
    <mergeCell ref="I227:I228"/>
    <mergeCell ref="I232:I233"/>
    <mergeCell ref="I237:I238"/>
    <mergeCell ref="E177:E180"/>
    <mergeCell ref="J205:J206"/>
    <mergeCell ref="J212:J213"/>
    <mergeCell ref="J214:J215"/>
    <mergeCell ref="J217:J218"/>
    <mergeCell ref="J220:J221"/>
    <mergeCell ref="I222:I223"/>
  </mergeCells>
  <dataValidations>
    <dataValidation type="list" allowBlank="1" showErrorMessage="1" sqref="D14 I14 I105 I198">
      <formula1>"DIAG,MECA,PROG,PIECES,PRODUIT,AVANCE,pieces garage,cours,consultation,TVA ET TIMBRE,OPENING"</formula1>
    </dataValidation>
    <dataValidation type="list" allowBlank="1" showErrorMessage="1" sqref="N3:N41 N43:N184">
      <formula1>"GARAGE,FOURNISSEUR,DEPENSE VOITURE,PRODUIT,CREDIT,YASSINE"</formula1>
    </dataValidation>
    <dataValidation type="list" allowBlank="1" showErrorMessage="1" sqref="D4:D13 I4:I13 I15:I104 I106:I197 D15:D200 I199:I201">
      <formula1>"DIAG,MECA,PROG,PIECES,PRODUIT,AVANCE,pieces garage,cours,consultation,TVA ET TIMBRE,DIAG ACHAT,YASSINE,BENEFICE PIECES"</formula1>
    </dataValidation>
    <dataValidation type="list" allowBlank="1" showErrorMessage="1" sqref="J4:J201">
      <formula1>"CHEQUE,VIREMENT,TPE"</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3.0"/>
    <col customWidth="1" min="2" max="2" width="52.43"/>
    <col customWidth="1" min="3" max="3" width="57.14"/>
    <col customWidth="1" min="4" max="4" width="55.29"/>
    <col customWidth="1" min="5" max="5" width="57.57"/>
    <col customWidth="1" min="6" max="6" width="51.14"/>
    <col customWidth="1" min="7" max="7" width="38.86"/>
    <col customWidth="1" min="8" max="8" width="16.43"/>
  </cols>
  <sheetData>
    <row r="1" ht="15.0" customHeight="1">
      <c r="A1" s="297"/>
      <c r="B1" s="298" t="s">
        <v>259</v>
      </c>
      <c r="C1" s="298" t="s">
        <v>260</v>
      </c>
      <c r="D1" s="298" t="s">
        <v>261</v>
      </c>
      <c r="E1" s="298" t="s">
        <v>262</v>
      </c>
      <c r="F1" s="298" t="s">
        <v>263</v>
      </c>
      <c r="G1" s="298" t="s">
        <v>264</v>
      </c>
      <c r="H1" s="298" t="s">
        <v>265</v>
      </c>
    </row>
    <row r="2" ht="13.5" customHeight="1">
      <c r="A2" s="299"/>
      <c r="B2" s="300">
        <v>46055.0</v>
      </c>
      <c r="C2" s="301">
        <v>46056.0</v>
      </c>
      <c r="D2" s="300">
        <v>46057.0</v>
      </c>
      <c r="E2" s="300">
        <v>46058.0</v>
      </c>
      <c r="F2" s="301">
        <v>46059.0</v>
      </c>
      <c r="G2" s="301">
        <v>46060.0</v>
      </c>
      <c r="H2" s="300">
        <v>46061.0</v>
      </c>
    </row>
    <row r="3" ht="50.25" customHeight="1">
      <c r="A3" s="302"/>
      <c r="B3" s="303" t="s">
        <v>266</v>
      </c>
      <c r="C3" s="304" t="s">
        <v>267</v>
      </c>
      <c r="D3" s="305" t="s">
        <v>268</v>
      </c>
      <c r="E3" s="306" t="s">
        <v>269</v>
      </c>
      <c r="F3" s="306" t="s">
        <v>270</v>
      </c>
      <c r="G3" s="307" t="s">
        <v>271</v>
      </c>
      <c r="H3" s="308"/>
    </row>
    <row r="4" ht="45.0" customHeight="1">
      <c r="A4" s="302"/>
      <c r="B4" s="303" t="s">
        <v>272</v>
      </c>
      <c r="C4" s="309" t="s">
        <v>273</v>
      </c>
      <c r="D4" s="305" t="s">
        <v>274</v>
      </c>
      <c r="E4" s="304" t="s">
        <v>275</v>
      </c>
      <c r="F4" s="310" t="s">
        <v>276</v>
      </c>
      <c r="G4" s="254"/>
      <c r="H4" s="311"/>
    </row>
    <row r="5" ht="44.25" customHeight="1">
      <c r="A5" s="302"/>
      <c r="B5" s="303" t="s">
        <v>277</v>
      </c>
      <c r="C5" s="304" t="s">
        <v>278</v>
      </c>
      <c r="D5" s="304" t="s">
        <v>279</v>
      </c>
      <c r="E5" s="312" t="s">
        <v>280</v>
      </c>
      <c r="F5" s="304" t="s">
        <v>281</v>
      </c>
      <c r="G5" s="254"/>
      <c r="H5" s="311"/>
    </row>
    <row r="6" ht="56.25" customHeight="1">
      <c r="A6" s="302"/>
      <c r="B6" s="312" t="s">
        <v>282</v>
      </c>
      <c r="C6" s="304" t="s">
        <v>283</v>
      </c>
      <c r="D6" s="304" t="s">
        <v>284</v>
      </c>
      <c r="E6" s="312" t="s">
        <v>285</v>
      </c>
      <c r="F6" s="304" t="s">
        <v>286</v>
      </c>
      <c r="G6" s="254"/>
      <c r="H6" s="311"/>
    </row>
    <row r="7" ht="56.25" customHeight="1">
      <c r="A7" s="302"/>
      <c r="B7" s="304" t="s">
        <v>287</v>
      </c>
      <c r="C7" s="312"/>
      <c r="D7" s="304" t="s">
        <v>288</v>
      </c>
      <c r="E7" s="304" t="s">
        <v>289</v>
      </c>
      <c r="F7" s="313" t="s">
        <v>290</v>
      </c>
      <c r="G7" s="251"/>
      <c r="H7" s="314"/>
    </row>
    <row r="8">
      <c r="A8" s="302"/>
      <c r="B8" s="300">
        <v>46062.0</v>
      </c>
      <c r="C8" s="300">
        <v>46063.0</v>
      </c>
      <c r="D8" s="300">
        <v>46064.0</v>
      </c>
      <c r="E8" s="300">
        <v>46065.0</v>
      </c>
      <c r="F8" s="300">
        <v>46066.0</v>
      </c>
      <c r="G8" s="300">
        <v>46067.0</v>
      </c>
      <c r="H8" s="300">
        <v>46068.0</v>
      </c>
    </row>
    <row r="9" ht="55.5" customHeight="1">
      <c r="A9" s="302"/>
      <c r="B9" s="304" t="s">
        <v>291</v>
      </c>
      <c r="C9" s="304" t="s">
        <v>292</v>
      </c>
      <c r="D9" s="309" t="s">
        <v>293</v>
      </c>
      <c r="E9" s="309" t="s">
        <v>294</v>
      </c>
      <c r="F9" s="304" t="s">
        <v>295</v>
      </c>
      <c r="G9" s="307" t="s">
        <v>271</v>
      </c>
      <c r="H9" s="308"/>
    </row>
    <row r="10" ht="42.75" customHeight="1">
      <c r="A10" s="302"/>
      <c r="B10" s="315" t="s">
        <v>296</v>
      </c>
      <c r="C10" s="304" t="s">
        <v>297</v>
      </c>
      <c r="D10" s="316" t="s">
        <v>298</v>
      </c>
      <c r="E10" s="304" t="s">
        <v>299</v>
      </c>
      <c r="F10" s="310" t="s">
        <v>300</v>
      </c>
      <c r="G10" s="254"/>
      <c r="H10" s="311"/>
    </row>
    <row r="11" ht="40.5" customHeight="1">
      <c r="A11" s="302"/>
      <c r="B11" s="304" t="s">
        <v>301</v>
      </c>
      <c r="C11" s="316" t="s">
        <v>302</v>
      </c>
      <c r="D11" s="316" t="s">
        <v>303</v>
      </c>
      <c r="E11" s="304" t="s">
        <v>304</v>
      </c>
      <c r="F11" s="317" t="s">
        <v>305</v>
      </c>
      <c r="G11" s="254"/>
      <c r="H11" s="311"/>
    </row>
    <row r="12" ht="46.5" customHeight="1">
      <c r="A12" s="302"/>
      <c r="B12" s="304" t="s">
        <v>306</v>
      </c>
      <c r="C12" s="316" t="s">
        <v>307</v>
      </c>
      <c r="D12" s="304" t="s">
        <v>308</v>
      </c>
      <c r="E12" s="304" t="s">
        <v>309</v>
      </c>
      <c r="F12" s="304" t="s">
        <v>310</v>
      </c>
      <c r="G12" s="254"/>
      <c r="H12" s="311"/>
    </row>
    <row r="13" ht="40.5" customHeight="1">
      <c r="A13" s="302"/>
      <c r="B13" s="318"/>
      <c r="C13" s="304"/>
      <c r="D13" s="317"/>
      <c r="E13" s="317" t="s">
        <v>311</v>
      </c>
      <c r="F13" s="319"/>
      <c r="G13" s="254"/>
      <c r="H13" s="311"/>
    </row>
    <row r="14" ht="40.5" customHeight="1">
      <c r="A14" s="302"/>
      <c r="B14" s="317" t="s">
        <v>312</v>
      </c>
      <c r="C14" s="304" t="s">
        <v>313</v>
      </c>
      <c r="D14" s="304" t="s">
        <v>314</v>
      </c>
      <c r="E14" s="317" t="s">
        <v>315</v>
      </c>
      <c r="F14" s="319"/>
      <c r="G14" s="251"/>
      <c r="H14" s="314"/>
    </row>
    <row r="15">
      <c r="A15" s="302"/>
      <c r="B15" s="300">
        <v>46069.0</v>
      </c>
      <c r="C15" s="300">
        <v>46070.0</v>
      </c>
      <c r="D15" s="300">
        <v>46071.0</v>
      </c>
      <c r="E15" s="300">
        <v>46072.0</v>
      </c>
      <c r="F15" s="300">
        <v>46073.0</v>
      </c>
      <c r="G15" s="300">
        <v>46074.0</v>
      </c>
      <c r="H15" s="300">
        <v>46075.0</v>
      </c>
    </row>
    <row r="16" ht="43.5" customHeight="1">
      <c r="A16" s="302"/>
      <c r="B16" s="316" t="s">
        <v>316</v>
      </c>
      <c r="C16" s="309" t="s">
        <v>317</v>
      </c>
      <c r="D16" s="312" t="s">
        <v>318</v>
      </c>
      <c r="E16" s="309" t="s">
        <v>319</v>
      </c>
      <c r="F16" s="320" t="s">
        <v>320</v>
      </c>
      <c r="G16" s="307" t="s">
        <v>271</v>
      </c>
      <c r="H16" s="308"/>
    </row>
    <row r="17" ht="37.5" customHeight="1">
      <c r="A17" s="302"/>
      <c r="B17" s="304" t="s">
        <v>321</v>
      </c>
      <c r="C17" s="316" t="s">
        <v>322</v>
      </c>
      <c r="D17" s="316" t="s">
        <v>323</v>
      </c>
      <c r="E17" s="316" t="s">
        <v>324</v>
      </c>
      <c r="F17" s="310" t="s">
        <v>325</v>
      </c>
      <c r="G17" s="254"/>
      <c r="H17" s="311"/>
    </row>
    <row r="18" ht="40.5" customHeight="1">
      <c r="A18" s="302"/>
      <c r="B18" s="304" t="s">
        <v>326</v>
      </c>
      <c r="C18" s="316" t="s">
        <v>327</v>
      </c>
      <c r="D18" s="316" t="s">
        <v>328</v>
      </c>
      <c r="E18" s="316" t="s">
        <v>329</v>
      </c>
      <c r="F18" s="310" t="s">
        <v>330</v>
      </c>
      <c r="G18" s="254"/>
      <c r="H18" s="311"/>
    </row>
    <row r="19" ht="47.25" customHeight="1">
      <c r="A19" s="302"/>
      <c r="B19" s="316" t="s">
        <v>331</v>
      </c>
      <c r="C19" s="316" t="s">
        <v>332</v>
      </c>
      <c r="D19" s="316" t="s">
        <v>333</v>
      </c>
      <c r="E19" s="316" t="s">
        <v>334</v>
      </c>
      <c r="F19" s="310"/>
      <c r="G19" s="254"/>
      <c r="H19" s="311"/>
    </row>
    <row r="20" ht="35.25" customHeight="1">
      <c r="A20" s="302"/>
      <c r="B20" s="315"/>
      <c r="C20" s="315"/>
      <c r="D20" s="321"/>
      <c r="E20" s="322"/>
      <c r="F20" s="323"/>
      <c r="G20" s="251"/>
      <c r="H20" s="314"/>
    </row>
    <row r="21" ht="17.25" customHeight="1">
      <c r="B21" s="324">
        <v>46076.0</v>
      </c>
      <c r="C21" s="324">
        <v>46077.0</v>
      </c>
      <c r="D21" s="324">
        <v>46078.0</v>
      </c>
      <c r="E21" s="325">
        <v>46079.0</v>
      </c>
      <c r="F21" s="325">
        <v>46080.0</v>
      </c>
      <c r="G21" s="325">
        <v>46081.0</v>
      </c>
      <c r="H21" s="325">
        <v>46082.0</v>
      </c>
    </row>
    <row r="22" ht="30.0" customHeight="1">
      <c r="B22" s="309" t="s">
        <v>335</v>
      </c>
      <c r="C22" s="309" t="s">
        <v>336</v>
      </c>
      <c r="D22" s="309" t="s">
        <v>337</v>
      </c>
      <c r="E22" s="326" t="s">
        <v>338</v>
      </c>
      <c r="F22" s="327"/>
      <c r="G22" s="307" t="s">
        <v>271</v>
      </c>
      <c r="H22" s="308"/>
    </row>
    <row r="23" ht="30.0" customHeight="1">
      <c r="B23" s="316" t="s">
        <v>339</v>
      </c>
      <c r="C23" s="328" t="s">
        <v>340</v>
      </c>
      <c r="D23" s="328" t="s">
        <v>341</v>
      </c>
      <c r="E23" s="329"/>
      <c r="F23" s="323"/>
      <c r="G23" s="254"/>
      <c r="H23" s="311"/>
    </row>
    <row r="24" ht="30.0" customHeight="1">
      <c r="B24" s="328" t="s">
        <v>342</v>
      </c>
      <c r="C24" s="316" t="s">
        <v>343</v>
      </c>
      <c r="D24" s="329"/>
      <c r="E24" s="329"/>
      <c r="F24" s="323"/>
      <c r="G24" s="254"/>
      <c r="H24" s="311"/>
    </row>
    <row r="25" ht="30.0" customHeight="1">
      <c r="B25" s="329"/>
      <c r="C25" s="329"/>
      <c r="D25" s="329"/>
      <c r="E25" s="329"/>
      <c r="F25" s="323"/>
      <c r="G25" s="254"/>
      <c r="H25" s="311"/>
    </row>
    <row r="26" ht="30.0" customHeight="1">
      <c r="B26" s="329"/>
      <c r="C26" s="329"/>
      <c r="D26" s="329"/>
      <c r="E26" s="329"/>
      <c r="F26" s="323"/>
      <c r="G26" s="251"/>
      <c r="H26" s="314"/>
    </row>
    <row r="27">
      <c r="B27" s="325">
        <v>46083.0</v>
      </c>
      <c r="C27" s="325">
        <v>46084.0</v>
      </c>
      <c r="D27" s="325">
        <v>46085.0</v>
      </c>
      <c r="E27" s="325">
        <v>46086.0</v>
      </c>
      <c r="F27" s="325">
        <v>46087.0</v>
      </c>
      <c r="G27" s="325">
        <v>46088.0</v>
      </c>
      <c r="H27" s="325">
        <v>46089.0</v>
      </c>
    </row>
    <row r="28">
      <c r="B28" s="312"/>
      <c r="C28" s="330"/>
      <c r="D28" s="312"/>
      <c r="E28" s="330"/>
      <c r="F28" s="327"/>
      <c r="G28" s="307" t="s">
        <v>271</v>
      </c>
      <c r="H28" s="308"/>
    </row>
    <row r="29">
      <c r="B29" s="315"/>
      <c r="C29" s="329"/>
      <c r="D29" s="329"/>
      <c r="E29" s="329"/>
      <c r="F29" s="323"/>
      <c r="G29" s="254"/>
      <c r="H29" s="311"/>
    </row>
    <row r="30">
      <c r="B30" s="329"/>
      <c r="C30" s="329"/>
      <c r="D30" s="329"/>
      <c r="E30" s="329"/>
      <c r="F30" s="323"/>
      <c r="G30" s="254"/>
      <c r="H30" s="311"/>
    </row>
    <row r="31">
      <c r="B31" s="329"/>
      <c r="C31" s="329"/>
      <c r="D31" s="329"/>
      <c r="E31" s="329"/>
      <c r="F31" s="323"/>
      <c r="G31" s="254"/>
      <c r="H31" s="311"/>
    </row>
    <row r="32">
      <c r="B32" s="329"/>
      <c r="C32" s="329"/>
      <c r="D32" s="329"/>
      <c r="E32" s="329"/>
      <c r="F32" s="323"/>
      <c r="G32" s="251"/>
      <c r="H32" s="314"/>
    </row>
    <row r="33" ht="16.5" customHeight="1">
      <c r="B33" s="325">
        <v>46090.0</v>
      </c>
      <c r="C33" s="325">
        <v>46091.0</v>
      </c>
      <c r="D33" s="325">
        <v>46092.0</v>
      </c>
      <c r="E33" s="325">
        <v>46093.0</v>
      </c>
      <c r="F33" s="325">
        <v>46094.0</v>
      </c>
      <c r="G33" s="325">
        <v>46095.0</v>
      </c>
      <c r="H33" s="325">
        <v>46096.0</v>
      </c>
    </row>
    <row r="34">
      <c r="B34" s="312"/>
      <c r="C34" s="330"/>
      <c r="D34" s="312"/>
      <c r="E34" s="330"/>
      <c r="F34" s="327"/>
      <c r="G34" s="307" t="s">
        <v>271</v>
      </c>
      <c r="H34" s="331"/>
    </row>
    <row r="35">
      <c r="B35" s="315"/>
      <c r="C35" s="329"/>
      <c r="D35" s="329"/>
      <c r="E35" s="329"/>
      <c r="F35" s="323"/>
      <c r="G35" s="254"/>
      <c r="H35" s="331"/>
    </row>
    <row r="36">
      <c r="B36" s="329"/>
      <c r="C36" s="329"/>
      <c r="D36" s="329"/>
      <c r="E36" s="329"/>
      <c r="F36" s="323"/>
      <c r="G36" s="254"/>
      <c r="H36" s="331"/>
    </row>
    <row r="37">
      <c r="B37" s="329"/>
      <c r="C37" s="329"/>
      <c r="D37" s="329"/>
      <c r="E37" s="329"/>
      <c r="F37" s="323"/>
      <c r="G37" s="254"/>
      <c r="H37" s="331"/>
    </row>
    <row r="38">
      <c r="B38" s="329"/>
      <c r="C38" s="329"/>
      <c r="D38" s="329"/>
      <c r="E38" s="329"/>
      <c r="F38" s="323"/>
      <c r="G38" s="251"/>
      <c r="H38" s="331"/>
    </row>
    <row r="39">
      <c r="B39" s="325">
        <v>46097.0</v>
      </c>
      <c r="C39" s="325">
        <v>46098.0</v>
      </c>
      <c r="D39" s="325">
        <v>46099.0</v>
      </c>
      <c r="E39" s="325">
        <v>46100.0</v>
      </c>
      <c r="F39" s="325">
        <v>46101.0</v>
      </c>
      <c r="G39" s="325">
        <v>46102.0</v>
      </c>
      <c r="H39" s="325">
        <v>46103.0</v>
      </c>
    </row>
    <row r="40">
      <c r="B40" s="312"/>
      <c r="C40" s="330"/>
      <c r="D40" s="312"/>
      <c r="E40" s="330"/>
      <c r="F40" s="332" t="s">
        <v>344</v>
      </c>
      <c r="G40" s="307" t="s">
        <v>271</v>
      </c>
      <c r="H40" s="331"/>
    </row>
    <row r="41">
      <c r="B41" s="315"/>
      <c r="C41" s="329"/>
      <c r="D41" s="329"/>
      <c r="E41" s="329"/>
      <c r="F41" s="323"/>
      <c r="G41" s="254"/>
      <c r="H41" s="331"/>
    </row>
    <row r="42">
      <c r="B42" s="329"/>
      <c r="C42" s="329"/>
      <c r="D42" s="329"/>
      <c r="E42" s="329"/>
      <c r="F42" s="323"/>
      <c r="G42" s="254"/>
      <c r="H42" s="331"/>
    </row>
    <row r="43">
      <c r="B43" s="329"/>
      <c r="C43" s="329"/>
      <c r="D43" s="329"/>
      <c r="E43" s="329"/>
      <c r="F43" s="323"/>
      <c r="G43" s="254"/>
      <c r="H43" s="331"/>
    </row>
    <row r="44">
      <c r="B44" s="329"/>
      <c r="C44" s="329"/>
      <c r="D44" s="329"/>
      <c r="E44" s="329"/>
      <c r="F44" s="323"/>
      <c r="G44" s="251"/>
      <c r="H44" s="331"/>
    </row>
    <row r="45">
      <c r="B45" s="333"/>
      <c r="C45" s="333"/>
      <c r="D45" s="333"/>
      <c r="E45" s="333"/>
      <c r="F45" s="333"/>
      <c r="G45" s="334"/>
      <c r="H45" s="331"/>
    </row>
    <row r="46">
      <c r="B46" s="333"/>
      <c r="C46" s="333"/>
      <c r="D46" s="333"/>
      <c r="E46" s="333"/>
      <c r="F46" s="333"/>
      <c r="G46" s="334"/>
      <c r="H46" s="331"/>
    </row>
    <row r="47">
      <c r="B47" s="333"/>
      <c r="C47" s="333"/>
      <c r="D47" s="333"/>
      <c r="E47" s="333"/>
      <c r="F47" s="333"/>
      <c r="G47" s="334"/>
      <c r="H47" s="331"/>
    </row>
    <row r="48">
      <c r="B48" s="333"/>
      <c r="C48" s="333"/>
      <c r="D48" s="333"/>
      <c r="E48" s="333"/>
      <c r="F48" s="333"/>
      <c r="G48" s="334"/>
      <c r="H48" s="331"/>
    </row>
    <row r="49">
      <c r="B49" s="333"/>
      <c r="C49" s="333"/>
      <c r="D49" s="333"/>
      <c r="E49" s="333"/>
      <c r="F49" s="333"/>
      <c r="G49" s="334"/>
      <c r="H49" s="331"/>
    </row>
    <row r="50">
      <c r="B50" s="333"/>
      <c r="C50" s="333"/>
      <c r="D50" s="333"/>
      <c r="E50" s="333"/>
      <c r="F50" s="333"/>
      <c r="G50" s="334"/>
      <c r="H50" s="331"/>
    </row>
    <row r="51">
      <c r="B51" s="333"/>
      <c r="C51" s="333"/>
      <c r="D51" s="333"/>
      <c r="E51" s="333"/>
      <c r="F51" s="333"/>
      <c r="G51" s="334"/>
      <c r="H51" s="331"/>
    </row>
    <row r="52">
      <c r="B52" s="333"/>
      <c r="C52" s="333"/>
      <c r="D52" s="333"/>
      <c r="E52" s="333"/>
      <c r="F52" s="333"/>
      <c r="G52" s="334"/>
      <c r="H52" s="331"/>
    </row>
    <row r="53">
      <c r="B53" s="333"/>
      <c r="C53" s="333"/>
      <c r="D53" s="333"/>
      <c r="E53" s="333"/>
      <c r="F53" s="333"/>
      <c r="G53" s="334"/>
      <c r="H53" s="331"/>
    </row>
    <row r="54">
      <c r="B54" s="333"/>
      <c r="C54" s="333"/>
      <c r="D54" s="333"/>
      <c r="E54" s="333"/>
      <c r="F54" s="333"/>
      <c r="G54" s="334"/>
      <c r="H54" s="331"/>
    </row>
    <row r="55">
      <c r="B55" s="333"/>
      <c r="C55" s="333"/>
      <c r="D55" s="333"/>
      <c r="E55" s="333"/>
      <c r="F55" s="333"/>
      <c r="G55" s="334"/>
      <c r="H55" s="331"/>
    </row>
    <row r="56">
      <c r="B56" s="333"/>
      <c r="C56" s="333"/>
      <c r="D56" s="333"/>
      <c r="E56" s="333"/>
      <c r="F56" s="333"/>
      <c r="G56" s="334"/>
      <c r="H56" s="331"/>
    </row>
    <row r="57">
      <c r="B57" s="333"/>
      <c r="C57" s="333"/>
      <c r="D57" s="333"/>
      <c r="E57" s="333"/>
      <c r="F57" s="333"/>
      <c r="G57" s="334"/>
      <c r="H57" s="331"/>
    </row>
    <row r="58">
      <c r="B58" s="333"/>
      <c r="C58" s="333"/>
      <c r="D58" s="333"/>
      <c r="E58" s="333"/>
      <c r="F58" s="333"/>
      <c r="G58" s="334"/>
      <c r="H58" s="331"/>
    </row>
    <row r="59">
      <c r="B59" s="333"/>
      <c r="C59" s="333"/>
      <c r="D59" s="333"/>
      <c r="E59" s="333"/>
      <c r="F59" s="333"/>
      <c r="G59" s="334"/>
      <c r="H59" s="331"/>
    </row>
    <row r="60">
      <c r="B60" s="333"/>
      <c r="C60" s="333"/>
      <c r="D60" s="333"/>
      <c r="E60" s="333"/>
      <c r="F60" s="333"/>
      <c r="G60" s="334"/>
      <c r="H60" s="331"/>
    </row>
    <row r="61">
      <c r="B61" s="333"/>
      <c r="C61" s="333"/>
      <c r="D61" s="333"/>
      <c r="E61" s="333"/>
      <c r="F61" s="333"/>
      <c r="G61" s="334"/>
      <c r="H61" s="331"/>
    </row>
    <row r="62">
      <c r="B62" s="333"/>
      <c r="C62" s="333"/>
      <c r="D62" s="333"/>
      <c r="E62" s="333"/>
      <c r="F62" s="333"/>
      <c r="G62" s="334"/>
      <c r="H62" s="331"/>
    </row>
    <row r="63">
      <c r="B63" s="333"/>
      <c r="C63" s="333"/>
      <c r="D63" s="333"/>
      <c r="E63" s="333"/>
      <c r="F63" s="333"/>
      <c r="G63" s="334"/>
      <c r="H63" s="331"/>
    </row>
    <row r="64">
      <c r="B64" s="333"/>
      <c r="C64" s="333"/>
      <c r="D64" s="333"/>
      <c r="E64" s="333"/>
      <c r="F64" s="333"/>
      <c r="G64" s="334"/>
      <c r="H64" s="331"/>
    </row>
    <row r="65">
      <c r="B65" s="333"/>
      <c r="C65" s="333"/>
      <c r="D65" s="333"/>
      <c r="E65" s="333"/>
      <c r="F65" s="333"/>
      <c r="G65" s="334"/>
      <c r="H65" s="331"/>
    </row>
    <row r="66">
      <c r="B66" s="333"/>
      <c r="C66" s="333"/>
      <c r="D66" s="333"/>
      <c r="E66" s="333"/>
      <c r="F66" s="333"/>
      <c r="G66" s="334"/>
      <c r="H66" s="331"/>
    </row>
    <row r="67">
      <c r="B67" s="333"/>
      <c r="C67" s="333"/>
      <c r="D67" s="333"/>
      <c r="E67" s="333"/>
      <c r="F67" s="333"/>
      <c r="G67" s="334"/>
      <c r="H67" s="331"/>
    </row>
    <row r="68">
      <c r="B68" s="333"/>
      <c r="C68" s="333"/>
      <c r="D68" s="333"/>
      <c r="E68" s="333"/>
      <c r="F68" s="333"/>
      <c r="G68" s="334"/>
      <c r="H68" s="331"/>
    </row>
    <row r="69">
      <c r="B69" s="333"/>
      <c r="C69" s="333"/>
      <c r="D69" s="333"/>
      <c r="E69" s="333"/>
      <c r="F69" s="333"/>
      <c r="G69" s="334"/>
      <c r="H69" s="331"/>
    </row>
    <row r="70">
      <c r="B70" s="333"/>
      <c r="C70" s="333"/>
      <c r="D70" s="333"/>
      <c r="E70" s="333"/>
      <c r="F70" s="333"/>
      <c r="G70" s="334"/>
      <c r="H70" s="331"/>
    </row>
    <row r="71">
      <c r="B71" s="333"/>
      <c r="C71" s="333"/>
      <c r="D71" s="333"/>
      <c r="E71" s="333"/>
      <c r="F71" s="333"/>
      <c r="G71" s="334"/>
      <c r="H71" s="331"/>
    </row>
    <row r="72">
      <c r="B72" s="333"/>
      <c r="C72" s="333"/>
      <c r="D72" s="333"/>
      <c r="E72" s="333"/>
      <c r="F72" s="333"/>
      <c r="G72" s="334"/>
      <c r="H72" s="331"/>
    </row>
    <row r="73">
      <c r="B73" s="333"/>
      <c r="C73" s="333"/>
      <c r="D73" s="333"/>
      <c r="E73" s="333"/>
      <c r="F73" s="333"/>
      <c r="G73" s="334"/>
      <c r="H73" s="331"/>
    </row>
    <row r="74">
      <c r="B74" s="333"/>
      <c r="C74" s="333"/>
      <c r="D74" s="333"/>
      <c r="E74" s="333"/>
      <c r="F74" s="333"/>
      <c r="G74" s="334"/>
      <c r="H74" s="331"/>
    </row>
    <row r="75">
      <c r="B75" s="333"/>
      <c r="C75" s="333"/>
      <c r="D75" s="333"/>
      <c r="E75" s="333"/>
      <c r="F75" s="333"/>
      <c r="G75" s="334"/>
      <c r="H75" s="331"/>
    </row>
    <row r="76">
      <c r="B76" s="333"/>
      <c r="C76" s="333"/>
      <c r="D76" s="333"/>
      <c r="E76" s="333"/>
      <c r="F76" s="333"/>
      <c r="G76" s="334"/>
      <c r="H76" s="331"/>
    </row>
    <row r="77">
      <c r="B77" s="333"/>
      <c r="C77" s="333"/>
      <c r="D77" s="333"/>
      <c r="E77" s="333"/>
      <c r="F77" s="333"/>
      <c r="G77" s="334"/>
      <c r="H77" s="331"/>
    </row>
    <row r="78">
      <c r="B78" s="333"/>
      <c r="C78" s="333"/>
      <c r="D78" s="333"/>
      <c r="E78" s="333"/>
      <c r="F78" s="333"/>
      <c r="G78" s="334"/>
      <c r="H78" s="331"/>
    </row>
    <row r="79">
      <c r="B79" s="333"/>
      <c r="C79" s="333"/>
      <c r="D79" s="333"/>
      <c r="E79" s="333"/>
      <c r="F79" s="333"/>
      <c r="G79" s="334"/>
      <c r="H79" s="331"/>
    </row>
    <row r="80">
      <c r="B80" s="333"/>
      <c r="C80" s="333"/>
      <c r="D80" s="333"/>
      <c r="E80" s="333"/>
      <c r="F80" s="333"/>
      <c r="G80" s="334"/>
      <c r="H80" s="331"/>
    </row>
    <row r="81">
      <c r="B81" s="333"/>
      <c r="C81" s="333"/>
      <c r="D81" s="333"/>
      <c r="E81" s="333"/>
      <c r="F81" s="333"/>
      <c r="G81" s="334"/>
      <c r="H81" s="331"/>
    </row>
    <row r="82">
      <c r="B82" s="333"/>
      <c r="C82" s="333"/>
      <c r="D82" s="333"/>
      <c r="E82" s="333"/>
      <c r="F82" s="333"/>
      <c r="G82" s="334"/>
      <c r="H82" s="331"/>
    </row>
    <row r="83">
      <c r="B83" s="333"/>
      <c r="C83" s="333"/>
      <c r="D83" s="333"/>
      <c r="E83" s="333"/>
      <c r="F83" s="333"/>
      <c r="G83" s="334"/>
      <c r="H83" s="331"/>
    </row>
    <row r="84">
      <c r="B84" s="333"/>
      <c r="C84" s="333"/>
      <c r="D84" s="333"/>
      <c r="E84" s="333"/>
      <c r="F84" s="333"/>
      <c r="G84" s="334"/>
      <c r="H84" s="331"/>
    </row>
    <row r="85">
      <c r="B85" s="333"/>
      <c r="C85" s="333"/>
      <c r="D85" s="333"/>
      <c r="E85" s="333"/>
      <c r="F85" s="333"/>
      <c r="G85" s="334"/>
      <c r="H85" s="331"/>
    </row>
    <row r="86">
      <c r="B86" s="333"/>
      <c r="C86" s="333"/>
      <c r="D86" s="333"/>
      <c r="E86" s="333"/>
      <c r="F86" s="333"/>
      <c r="G86" s="334"/>
      <c r="H86" s="331"/>
    </row>
    <row r="87">
      <c r="B87" s="333"/>
      <c r="C87" s="333"/>
      <c r="D87" s="333"/>
      <c r="E87" s="333"/>
      <c r="F87" s="333"/>
      <c r="G87" s="334"/>
      <c r="H87" s="331"/>
    </row>
    <row r="88">
      <c r="B88" s="333"/>
      <c r="C88" s="333"/>
      <c r="D88" s="333"/>
      <c r="E88" s="333"/>
      <c r="F88" s="333"/>
      <c r="G88" s="334"/>
      <c r="H88" s="331"/>
    </row>
    <row r="89">
      <c r="B89" s="333"/>
      <c r="C89" s="333"/>
      <c r="D89" s="333"/>
      <c r="E89" s="333"/>
      <c r="F89" s="333"/>
      <c r="G89" s="334"/>
      <c r="H89" s="331"/>
    </row>
    <row r="90">
      <c r="B90" s="333"/>
      <c r="C90" s="333"/>
      <c r="D90" s="333"/>
      <c r="E90" s="333"/>
      <c r="F90" s="333"/>
      <c r="G90" s="334"/>
      <c r="H90" s="331"/>
    </row>
    <row r="91">
      <c r="B91" s="333"/>
      <c r="C91" s="333"/>
      <c r="D91" s="333"/>
      <c r="E91" s="333"/>
      <c r="F91" s="333"/>
      <c r="G91" s="334"/>
      <c r="H91" s="331"/>
    </row>
    <row r="92">
      <c r="B92" s="333"/>
      <c r="C92" s="333"/>
      <c r="D92" s="333"/>
      <c r="E92" s="333"/>
      <c r="F92" s="333"/>
      <c r="G92" s="334"/>
      <c r="H92" s="331"/>
    </row>
    <row r="93">
      <c r="B93" s="333"/>
      <c r="C93" s="333"/>
      <c r="D93" s="333"/>
      <c r="E93" s="333"/>
      <c r="F93" s="333"/>
      <c r="G93" s="334"/>
      <c r="H93" s="331"/>
    </row>
    <row r="94">
      <c r="B94" s="333"/>
      <c r="C94" s="333"/>
      <c r="D94" s="333"/>
      <c r="E94" s="333"/>
      <c r="F94" s="333"/>
      <c r="G94" s="334"/>
      <c r="H94" s="331"/>
    </row>
    <row r="95">
      <c r="B95" s="333"/>
      <c r="C95" s="333"/>
      <c r="D95" s="333"/>
      <c r="E95" s="333"/>
      <c r="F95" s="333"/>
      <c r="G95" s="334"/>
      <c r="H95" s="331"/>
    </row>
    <row r="96">
      <c r="B96" s="333"/>
      <c r="C96" s="333"/>
      <c r="D96" s="333"/>
      <c r="E96" s="333"/>
      <c r="F96" s="333"/>
      <c r="G96" s="334"/>
      <c r="H96" s="331"/>
    </row>
    <row r="97">
      <c r="B97" s="333"/>
      <c r="C97" s="333"/>
      <c r="D97" s="333"/>
      <c r="E97" s="333"/>
      <c r="F97" s="333"/>
      <c r="G97" s="334"/>
      <c r="H97" s="331"/>
    </row>
    <row r="98">
      <c r="B98" s="333"/>
      <c r="C98" s="333"/>
      <c r="D98" s="333"/>
      <c r="E98" s="333"/>
      <c r="F98" s="333"/>
      <c r="G98" s="334"/>
      <c r="H98" s="331"/>
    </row>
    <row r="99">
      <c r="B99" s="333"/>
      <c r="C99" s="333"/>
      <c r="D99" s="333"/>
      <c r="E99" s="333"/>
      <c r="F99" s="333"/>
      <c r="G99" s="334"/>
      <c r="H99" s="331"/>
    </row>
    <row r="100">
      <c r="B100" s="333"/>
      <c r="C100" s="333"/>
      <c r="D100" s="333"/>
      <c r="E100" s="333"/>
      <c r="F100" s="333"/>
      <c r="G100" s="334"/>
      <c r="H100" s="331"/>
    </row>
    <row r="101">
      <c r="B101" s="333"/>
      <c r="C101" s="333"/>
      <c r="D101" s="333"/>
      <c r="E101" s="333"/>
      <c r="F101" s="333"/>
      <c r="G101" s="334"/>
      <c r="H101" s="331"/>
    </row>
    <row r="102">
      <c r="B102" s="333"/>
      <c r="C102" s="333"/>
      <c r="D102" s="333"/>
      <c r="E102" s="333"/>
      <c r="F102" s="333"/>
      <c r="G102" s="334"/>
      <c r="H102" s="331"/>
    </row>
    <row r="103">
      <c r="B103" s="333"/>
      <c r="C103" s="333"/>
      <c r="D103" s="333"/>
      <c r="E103" s="333"/>
      <c r="F103" s="333"/>
      <c r="G103" s="334"/>
      <c r="H103" s="331"/>
    </row>
    <row r="104">
      <c r="B104" s="333"/>
      <c r="C104" s="333"/>
      <c r="D104" s="333"/>
      <c r="E104" s="333"/>
      <c r="F104" s="333"/>
      <c r="G104" s="334"/>
      <c r="H104" s="331"/>
    </row>
    <row r="105">
      <c r="B105" s="333"/>
      <c r="C105" s="333"/>
      <c r="D105" s="333"/>
      <c r="E105" s="333"/>
      <c r="F105" s="333"/>
      <c r="G105" s="334"/>
      <c r="H105" s="331"/>
    </row>
    <row r="106">
      <c r="B106" s="333"/>
      <c r="C106" s="333"/>
      <c r="D106" s="333"/>
      <c r="E106" s="333"/>
      <c r="F106" s="333"/>
      <c r="G106" s="334"/>
      <c r="H106" s="331"/>
    </row>
    <row r="107">
      <c r="B107" s="333"/>
      <c r="C107" s="333"/>
      <c r="D107" s="333"/>
      <c r="E107" s="333"/>
      <c r="F107" s="333"/>
      <c r="G107" s="334"/>
      <c r="H107" s="331"/>
    </row>
    <row r="108">
      <c r="B108" s="333"/>
      <c r="C108" s="333"/>
      <c r="D108" s="333"/>
      <c r="E108" s="333"/>
      <c r="F108" s="333"/>
      <c r="G108" s="334"/>
      <c r="H108" s="331"/>
    </row>
    <row r="109">
      <c r="B109" s="333"/>
      <c r="C109" s="333"/>
      <c r="D109" s="333"/>
      <c r="E109" s="333"/>
      <c r="F109" s="333"/>
      <c r="G109" s="334"/>
      <c r="H109" s="331"/>
    </row>
    <row r="110">
      <c r="B110" s="333"/>
      <c r="C110" s="333"/>
      <c r="D110" s="333"/>
      <c r="E110" s="333"/>
      <c r="F110" s="333"/>
      <c r="G110" s="334"/>
      <c r="H110" s="331"/>
    </row>
    <row r="111">
      <c r="B111" s="333"/>
      <c r="C111" s="333"/>
      <c r="D111" s="333"/>
      <c r="E111" s="333"/>
      <c r="F111" s="333"/>
      <c r="G111" s="334"/>
      <c r="H111" s="331"/>
    </row>
    <row r="112">
      <c r="B112" s="333"/>
      <c r="C112" s="333"/>
      <c r="D112" s="333"/>
      <c r="E112" s="333"/>
      <c r="F112" s="333"/>
      <c r="G112" s="334"/>
      <c r="H112" s="331"/>
    </row>
    <row r="113">
      <c r="B113" s="333"/>
      <c r="C113" s="333"/>
      <c r="D113" s="333"/>
      <c r="E113" s="333"/>
      <c r="F113" s="333"/>
      <c r="G113" s="334"/>
      <c r="H113" s="331"/>
    </row>
    <row r="114">
      <c r="B114" s="333"/>
      <c r="C114" s="333"/>
      <c r="D114" s="333"/>
      <c r="E114" s="333"/>
      <c r="F114" s="333"/>
      <c r="G114" s="334"/>
      <c r="H114" s="331"/>
    </row>
    <row r="115">
      <c r="B115" s="333"/>
      <c r="C115" s="333"/>
      <c r="D115" s="333"/>
      <c r="E115" s="333"/>
      <c r="F115" s="333"/>
      <c r="G115" s="334"/>
      <c r="H115" s="331"/>
    </row>
    <row r="116">
      <c r="B116" s="333"/>
      <c r="C116" s="333"/>
      <c r="D116" s="333"/>
      <c r="E116" s="333"/>
      <c r="F116" s="333"/>
      <c r="G116" s="334"/>
      <c r="H116" s="331"/>
    </row>
    <row r="117">
      <c r="B117" s="333"/>
      <c r="C117" s="333"/>
      <c r="D117" s="333"/>
      <c r="E117" s="333"/>
      <c r="F117" s="333"/>
      <c r="G117" s="334"/>
      <c r="H117" s="331"/>
    </row>
    <row r="118">
      <c r="B118" s="333"/>
      <c r="C118" s="333"/>
      <c r="D118" s="333"/>
      <c r="E118" s="333"/>
      <c r="F118" s="333"/>
      <c r="G118" s="334"/>
      <c r="H118" s="331"/>
    </row>
    <row r="119">
      <c r="B119" s="333"/>
      <c r="C119" s="333"/>
      <c r="D119" s="333"/>
      <c r="E119" s="333"/>
      <c r="F119" s="333"/>
      <c r="G119" s="334"/>
      <c r="H119" s="331"/>
    </row>
    <row r="120">
      <c r="B120" s="333"/>
      <c r="C120" s="333"/>
      <c r="D120" s="333"/>
      <c r="E120" s="333"/>
      <c r="F120" s="333"/>
      <c r="G120" s="334"/>
      <c r="H120" s="331"/>
    </row>
    <row r="121">
      <c r="B121" s="333"/>
      <c r="C121" s="333"/>
      <c r="D121" s="333"/>
      <c r="E121" s="333"/>
      <c r="F121" s="333"/>
      <c r="G121" s="334"/>
      <c r="H121" s="331"/>
    </row>
    <row r="122">
      <c r="B122" s="333"/>
      <c r="C122" s="333"/>
      <c r="D122" s="333"/>
      <c r="E122" s="333"/>
      <c r="F122" s="333"/>
      <c r="G122" s="334"/>
      <c r="H122" s="331"/>
    </row>
    <row r="123">
      <c r="B123" s="333"/>
      <c r="C123" s="333"/>
      <c r="D123" s="333"/>
      <c r="E123" s="333"/>
      <c r="F123" s="333"/>
      <c r="G123" s="334"/>
      <c r="H123" s="331"/>
    </row>
    <row r="124">
      <c r="B124" s="333"/>
      <c r="C124" s="333"/>
      <c r="D124" s="333"/>
      <c r="E124" s="333"/>
      <c r="F124" s="333"/>
      <c r="G124" s="334"/>
      <c r="H124" s="331"/>
    </row>
    <row r="125">
      <c r="B125" s="333"/>
      <c r="C125" s="333"/>
      <c r="D125" s="333"/>
      <c r="E125" s="333"/>
      <c r="F125" s="333"/>
      <c r="G125" s="334"/>
      <c r="H125" s="331"/>
    </row>
    <row r="126">
      <c r="B126" s="333"/>
      <c r="C126" s="333"/>
      <c r="D126" s="333"/>
      <c r="E126" s="333"/>
      <c r="F126" s="333"/>
      <c r="G126" s="334"/>
      <c r="H126" s="331"/>
    </row>
    <row r="127">
      <c r="B127" s="333"/>
      <c r="C127" s="333"/>
      <c r="D127" s="333"/>
      <c r="E127" s="333"/>
      <c r="F127" s="333"/>
      <c r="G127" s="334"/>
      <c r="H127" s="331"/>
    </row>
    <row r="128">
      <c r="B128" s="333"/>
      <c r="C128" s="333"/>
      <c r="D128" s="333"/>
      <c r="E128" s="333"/>
      <c r="F128" s="333"/>
      <c r="G128" s="334"/>
      <c r="H128" s="331"/>
    </row>
    <row r="129">
      <c r="B129" s="333"/>
      <c r="C129" s="333"/>
      <c r="D129" s="333"/>
      <c r="E129" s="333"/>
      <c r="F129" s="333"/>
      <c r="G129" s="334"/>
      <c r="H129" s="331"/>
    </row>
    <row r="130">
      <c r="B130" s="333"/>
      <c r="C130" s="333"/>
      <c r="D130" s="333"/>
      <c r="E130" s="333"/>
      <c r="F130" s="333"/>
      <c r="G130" s="334"/>
      <c r="H130" s="331"/>
    </row>
    <row r="131">
      <c r="B131" s="333"/>
      <c r="C131" s="333"/>
      <c r="D131" s="333"/>
      <c r="E131" s="333"/>
      <c r="F131" s="333"/>
      <c r="G131" s="334"/>
      <c r="H131" s="331"/>
    </row>
    <row r="132">
      <c r="B132" s="333"/>
      <c r="C132" s="333"/>
      <c r="D132" s="333"/>
      <c r="E132" s="333"/>
      <c r="F132" s="333"/>
      <c r="G132" s="334"/>
      <c r="H132" s="331"/>
    </row>
    <row r="133">
      <c r="B133" s="333"/>
      <c r="C133" s="333"/>
      <c r="D133" s="333"/>
      <c r="E133" s="333"/>
      <c r="F133" s="333"/>
      <c r="G133" s="334"/>
      <c r="H133" s="331"/>
    </row>
    <row r="134">
      <c r="B134" s="333"/>
      <c r="C134" s="333"/>
      <c r="D134" s="333"/>
      <c r="E134" s="333"/>
      <c r="F134" s="333"/>
      <c r="G134" s="334"/>
      <c r="H134" s="331"/>
    </row>
    <row r="135">
      <c r="B135" s="333"/>
      <c r="C135" s="333"/>
      <c r="D135" s="333"/>
      <c r="E135" s="333"/>
      <c r="F135" s="333"/>
      <c r="G135" s="334"/>
      <c r="H135" s="331"/>
    </row>
    <row r="136">
      <c r="B136" s="333"/>
      <c r="C136" s="333"/>
      <c r="D136" s="333"/>
      <c r="E136" s="333"/>
      <c r="F136" s="333"/>
      <c r="G136" s="334"/>
      <c r="H136" s="331"/>
    </row>
    <row r="137">
      <c r="B137" s="333"/>
      <c r="C137" s="333"/>
      <c r="D137" s="333"/>
      <c r="E137" s="333"/>
      <c r="F137" s="333"/>
      <c r="G137" s="334"/>
      <c r="H137" s="331"/>
    </row>
    <row r="138">
      <c r="B138" s="333"/>
      <c r="C138" s="333"/>
      <c r="D138" s="333"/>
      <c r="E138" s="333"/>
      <c r="F138" s="333"/>
      <c r="G138" s="334"/>
      <c r="H138" s="331"/>
    </row>
    <row r="139">
      <c r="B139" s="333"/>
      <c r="C139" s="333"/>
      <c r="D139" s="333"/>
      <c r="E139" s="333"/>
      <c r="F139" s="333"/>
      <c r="G139" s="334"/>
      <c r="H139" s="331"/>
    </row>
    <row r="140">
      <c r="B140" s="333"/>
      <c r="C140" s="333"/>
      <c r="D140" s="333"/>
      <c r="E140" s="333"/>
      <c r="F140" s="333"/>
      <c r="G140" s="334"/>
      <c r="H140" s="331"/>
    </row>
    <row r="141">
      <c r="B141" s="333"/>
      <c r="C141" s="333"/>
      <c r="D141" s="333"/>
      <c r="E141" s="333"/>
      <c r="F141" s="333"/>
      <c r="G141" s="334"/>
      <c r="H141" s="331"/>
    </row>
    <row r="142">
      <c r="B142" s="333"/>
      <c r="C142" s="333"/>
      <c r="D142" s="333"/>
      <c r="E142" s="333"/>
      <c r="F142" s="333"/>
      <c r="G142" s="334"/>
      <c r="H142" s="331"/>
    </row>
    <row r="143">
      <c r="B143" s="333"/>
      <c r="C143" s="333"/>
      <c r="D143" s="333"/>
      <c r="E143" s="333"/>
      <c r="F143" s="333"/>
      <c r="G143" s="334"/>
      <c r="H143" s="331"/>
    </row>
    <row r="144">
      <c r="B144" s="333"/>
      <c r="C144" s="333"/>
      <c r="D144" s="333"/>
      <c r="E144" s="333"/>
      <c r="F144" s="333"/>
      <c r="G144" s="334"/>
      <c r="H144" s="331"/>
    </row>
    <row r="145">
      <c r="B145" s="333"/>
      <c r="C145" s="333"/>
      <c r="D145" s="333"/>
      <c r="E145" s="333"/>
      <c r="F145" s="333"/>
      <c r="G145" s="334"/>
      <c r="H145" s="331"/>
    </row>
    <row r="146">
      <c r="B146" s="333"/>
      <c r="C146" s="333"/>
      <c r="D146" s="333"/>
      <c r="E146" s="333"/>
      <c r="F146" s="333"/>
      <c r="G146" s="334"/>
      <c r="H146" s="331"/>
    </row>
    <row r="147">
      <c r="B147" s="333"/>
      <c r="C147" s="333"/>
      <c r="D147" s="333"/>
      <c r="E147" s="333"/>
      <c r="F147" s="333"/>
      <c r="G147" s="334"/>
      <c r="H147" s="331"/>
    </row>
    <row r="148">
      <c r="B148" s="333"/>
      <c r="C148" s="333"/>
      <c r="D148" s="333"/>
      <c r="E148" s="333"/>
      <c r="F148" s="333"/>
      <c r="G148" s="334"/>
      <c r="H148" s="331"/>
    </row>
    <row r="149">
      <c r="B149" s="333"/>
      <c r="C149" s="333"/>
      <c r="D149" s="333"/>
      <c r="E149" s="333"/>
      <c r="F149" s="333"/>
      <c r="G149" s="334"/>
      <c r="H149" s="331"/>
    </row>
    <row r="150">
      <c r="B150" s="333"/>
      <c r="C150" s="333"/>
      <c r="D150" s="333"/>
      <c r="E150" s="333"/>
      <c r="F150" s="333"/>
      <c r="G150" s="334"/>
      <c r="H150" s="331"/>
    </row>
    <row r="151">
      <c r="B151" s="333"/>
      <c r="C151" s="333"/>
      <c r="D151" s="333"/>
      <c r="E151" s="333"/>
      <c r="F151" s="333"/>
      <c r="G151" s="334"/>
      <c r="H151" s="331"/>
    </row>
    <row r="152">
      <c r="B152" s="333"/>
      <c r="C152" s="333"/>
      <c r="D152" s="333"/>
      <c r="E152" s="333"/>
      <c r="F152" s="333"/>
      <c r="G152" s="334"/>
      <c r="H152" s="331"/>
    </row>
    <row r="153">
      <c r="B153" s="333"/>
      <c r="C153" s="333"/>
      <c r="D153" s="333"/>
      <c r="E153" s="333"/>
      <c r="F153" s="333"/>
      <c r="G153" s="334"/>
      <c r="H153" s="331"/>
    </row>
    <row r="154">
      <c r="B154" s="333"/>
      <c r="C154" s="333"/>
      <c r="D154" s="333"/>
      <c r="E154" s="333"/>
      <c r="F154" s="333"/>
      <c r="G154" s="334"/>
      <c r="H154" s="331"/>
    </row>
    <row r="155">
      <c r="B155" s="333"/>
      <c r="C155" s="333"/>
      <c r="D155" s="333"/>
      <c r="E155" s="333"/>
      <c r="F155" s="333"/>
      <c r="G155" s="334"/>
      <c r="H155" s="331"/>
    </row>
    <row r="156">
      <c r="B156" s="333"/>
      <c r="C156" s="333"/>
      <c r="D156" s="333"/>
      <c r="E156" s="333"/>
      <c r="F156" s="333"/>
      <c r="G156" s="334"/>
      <c r="H156" s="331"/>
    </row>
    <row r="157">
      <c r="B157" s="333"/>
      <c r="C157" s="333"/>
      <c r="D157" s="333"/>
      <c r="E157" s="333"/>
      <c r="F157" s="333"/>
      <c r="G157" s="334"/>
      <c r="H157" s="331"/>
    </row>
    <row r="158">
      <c r="B158" s="333"/>
      <c r="C158" s="333"/>
      <c r="D158" s="333"/>
      <c r="E158" s="333"/>
      <c r="F158" s="333"/>
      <c r="G158" s="334"/>
      <c r="H158" s="331"/>
    </row>
    <row r="159">
      <c r="B159" s="333"/>
      <c r="C159" s="333"/>
      <c r="D159" s="333"/>
      <c r="E159" s="333"/>
      <c r="F159" s="333"/>
      <c r="G159" s="334"/>
      <c r="H159" s="331"/>
    </row>
    <row r="160">
      <c r="B160" s="333"/>
      <c r="C160" s="333"/>
      <c r="D160" s="333"/>
      <c r="E160" s="333"/>
      <c r="F160" s="333"/>
      <c r="G160" s="334"/>
      <c r="H160" s="331"/>
    </row>
    <row r="161">
      <c r="B161" s="333"/>
      <c r="C161" s="333"/>
      <c r="D161" s="333"/>
      <c r="E161" s="333"/>
      <c r="F161" s="333"/>
      <c r="G161" s="334"/>
      <c r="H161" s="331"/>
    </row>
    <row r="162">
      <c r="B162" s="333"/>
      <c r="C162" s="333"/>
      <c r="D162" s="333"/>
      <c r="E162" s="333"/>
      <c r="F162" s="333"/>
      <c r="G162" s="334"/>
      <c r="H162" s="331"/>
    </row>
    <row r="163">
      <c r="B163" s="333"/>
      <c r="C163" s="333"/>
      <c r="D163" s="333"/>
      <c r="E163" s="333"/>
      <c r="F163" s="333"/>
      <c r="G163" s="334"/>
      <c r="H163" s="331"/>
    </row>
    <row r="164">
      <c r="B164" s="333"/>
      <c r="C164" s="333"/>
      <c r="D164" s="333"/>
      <c r="E164" s="333"/>
      <c r="F164" s="333"/>
      <c r="G164" s="334"/>
      <c r="H164" s="331"/>
    </row>
    <row r="165">
      <c r="B165" s="333"/>
      <c r="C165" s="333"/>
      <c r="D165" s="333"/>
      <c r="E165" s="333"/>
      <c r="F165" s="333"/>
      <c r="G165" s="334"/>
      <c r="H165" s="331"/>
    </row>
    <row r="166">
      <c r="B166" s="333"/>
      <c r="C166" s="333"/>
      <c r="D166" s="333"/>
      <c r="E166" s="333"/>
      <c r="F166" s="333"/>
      <c r="G166" s="334"/>
      <c r="H166" s="331"/>
    </row>
    <row r="167">
      <c r="B167" s="333"/>
      <c r="C167" s="333"/>
      <c r="D167" s="333"/>
      <c r="E167" s="333"/>
      <c r="F167" s="333"/>
      <c r="G167" s="334"/>
      <c r="H167" s="331"/>
    </row>
    <row r="168">
      <c r="B168" s="333"/>
      <c r="C168" s="333"/>
      <c r="D168" s="333"/>
      <c r="E168" s="333"/>
      <c r="F168" s="333"/>
      <c r="G168" s="334"/>
      <c r="H168" s="331"/>
    </row>
    <row r="169">
      <c r="B169" s="333"/>
      <c r="C169" s="333"/>
      <c r="D169" s="333"/>
      <c r="E169" s="333"/>
      <c r="F169" s="333"/>
      <c r="G169" s="334"/>
      <c r="H169" s="331"/>
    </row>
    <row r="170">
      <c r="B170" s="333"/>
      <c r="C170" s="333"/>
      <c r="D170" s="333"/>
      <c r="E170" s="333"/>
      <c r="F170" s="333"/>
      <c r="G170" s="334"/>
      <c r="H170" s="331"/>
    </row>
    <row r="171">
      <c r="B171" s="333"/>
      <c r="C171" s="333"/>
      <c r="D171" s="333"/>
      <c r="E171" s="333"/>
      <c r="F171" s="333"/>
      <c r="G171" s="334"/>
      <c r="H171" s="331"/>
    </row>
    <row r="172">
      <c r="B172" s="333"/>
      <c r="C172" s="333"/>
      <c r="D172" s="333"/>
      <c r="E172" s="333"/>
      <c r="F172" s="333"/>
      <c r="G172" s="334"/>
      <c r="H172" s="331"/>
    </row>
    <row r="173">
      <c r="B173" s="333"/>
      <c r="C173" s="333"/>
      <c r="D173" s="333"/>
      <c r="E173" s="333"/>
      <c r="F173" s="333"/>
      <c r="G173" s="334"/>
      <c r="H173" s="331"/>
    </row>
    <row r="174">
      <c r="B174" s="333"/>
      <c r="C174" s="333"/>
      <c r="D174" s="333"/>
      <c r="E174" s="333"/>
      <c r="F174" s="333"/>
      <c r="G174" s="334"/>
      <c r="H174" s="331"/>
    </row>
    <row r="175">
      <c r="B175" s="333"/>
      <c r="C175" s="333"/>
      <c r="D175" s="333"/>
      <c r="E175" s="333"/>
      <c r="F175" s="333"/>
      <c r="G175" s="334"/>
      <c r="H175" s="331"/>
    </row>
    <row r="176">
      <c r="B176" s="333"/>
      <c r="C176" s="333"/>
      <c r="D176" s="333"/>
      <c r="E176" s="333"/>
      <c r="F176" s="333"/>
      <c r="G176" s="334"/>
      <c r="H176" s="331"/>
    </row>
    <row r="177">
      <c r="B177" s="333"/>
      <c r="C177" s="333"/>
      <c r="D177" s="333"/>
      <c r="E177" s="333"/>
      <c r="F177" s="333"/>
      <c r="G177" s="334"/>
      <c r="H177" s="331"/>
    </row>
    <row r="178">
      <c r="B178" s="333"/>
      <c r="C178" s="333"/>
      <c r="D178" s="333"/>
      <c r="E178" s="333"/>
      <c r="F178" s="333"/>
      <c r="G178" s="334"/>
      <c r="H178" s="331"/>
    </row>
    <row r="179">
      <c r="B179" s="333"/>
      <c r="C179" s="333"/>
      <c r="D179" s="333"/>
      <c r="E179" s="333"/>
      <c r="F179" s="333"/>
      <c r="G179" s="334"/>
      <c r="H179" s="331"/>
    </row>
    <row r="180">
      <c r="B180" s="333"/>
      <c r="C180" s="333"/>
      <c r="D180" s="333"/>
      <c r="E180" s="333"/>
      <c r="F180" s="333"/>
      <c r="G180" s="334"/>
      <c r="H180" s="331"/>
    </row>
    <row r="181">
      <c r="B181" s="333"/>
      <c r="C181" s="333"/>
      <c r="D181" s="333"/>
      <c r="E181" s="333"/>
      <c r="F181" s="333"/>
      <c r="G181" s="334"/>
      <c r="H181" s="331"/>
    </row>
    <row r="182">
      <c r="B182" s="333"/>
      <c r="C182" s="333"/>
      <c r="D182" s="333"/>
      <c r="E182" s="333"/>
      <c r="F182" s="333"/>
      <c r="G182" s="334"/>
      <c r="H182" s="331"/>
    </row>
    <row r="183">
      <c r="B183" s="333"/>
      <c r="C183" s="333"/>
      <c r="D183" s="333"/>
      <c r="E183" s="333"/>
      <c r="F183" s="333"/>
      <c r="G183" s="334"/>
      <c r="H183" s="331"/>
    </row>
    <row r="184">
      <c r="B184" s="333"/>
      <c r="C184" s="333"/>
      <c r="D184" s="333"/>
      <c r="E184" s="333"/>
      <c r="F184" s="333"/>
      <c r="G184" s="334"/>
      <c r="H184" s="331"/>
    </row>
    <row r="185">
      <c r="B185" s="333"/>
      <c r="C185" s="333"/>
      <c r="D185" s="333"/>
      <c r="E185" s="333"/>
      <c r="F185" s="333"/>
      <c r="G185" s="334"/>
      <c r="H185" s="331"/>
    </row>
    <row r="186">
      <c r="B186" s="333"/>
      <c r="C186" s="333"/>
      <c r="D186" s="333"/>
      <c r="E186" s="333"/>
      <c r="F186" s="333"/>
      <c r="G186" s="334"/>
      <c r="H186" s="331"/>
    </row>
    <row r="187">
      <c r="B187" s="333"/>
      <c r="C187" s="333"/>
      <c r="D187" s="333"/>
      <c r="E187" s="333"/>
      <c r="F187" s="333"/>
      <c r="G187" s="334"/>
      <c r="H187" s="331"/>
    </row>
    <row r="188">
      <c r="B188" s="333"/>
      <c r="C188" s="333"/>
      <c r="D188" s="333"/>
      <c r="E188" s="333"/>
      <c r="F188" s="333"/>
      <c r="G188" s="334"/>
      <c r="H188" s="331"/>
    </row>
    <row r="189">
      <c r="B189" s="333"/>
      <c r="C189" s="333"/>
      <c r="D189" s="333"/>
      <c r="E189" s="333"/>
      <c r="F189" s="333"/>
      <c r="G189" s="334"/>
      <c r="H189" s="331"/>
    </row>
    <row r="190">
      <c r="B190" s="333"/>
      <c r="C190" s="333"/>
      <c r="D190" s="333"/>
      <c r="E190" s="333"/>
      <c r="F190" s="333"/>
      <c r="G190" s="334"/>
      <c r="H190" s="331"/>
    </row>
    <row r="191">
      <c r="B191" s="333"/>
      <c r="C191" s="333"/>
      <c r="D191" s="333"/>
      <c r="E191" s="333"/>
      <c r="F191" s="333"/>
      <c r="G191" s="334"/>
      <c r="H191" s="331"/>
    </row>
    <row r="192">
      <c r="B192" s="333"/>
      <c r="C192" s="333"/>
      <c r="D192" s="333"/>
      <c r="E192" s="333"/>
      <c r="F192" s="333"/>
      <c r="G192" s="334"/>
      <c r="H192" s="331"/>
    </row>
    <row r="193">
      <c r="B193" s="333"/>
      <c r="C193" s="333"/>
      <c r="D193" s="333"/>
      <c r="E193" s="333"/>
      <c r="F193" s="333"/>
      <c r="G193" s="334"/>
      <c r="H193" s="331"/>
    </row>
    <row r="194">
      <c r="B194" s="333"/>
      <c r="C194" s="333"/>
      <c r="D194" s="333"/>
      <c r="E194" s="333"/>
      <c r="F194" s="333"/>
      <c r="G194" s="334"/>
      <c r="H194" s="331"/>
    </row>
    <row r="195">
      <c r="B195" s="333"/>
      <c r="C195" s="333"/>
      <c r="D195" s="333"/>
      <c r="E195" s="333"/>
      <c r="F195" s="333"/>
      <c r="G195" s="334"/>
      <c r="H195" s="331"/>
    </row>
    <row r="196">
      <c r="B196" s="333"/>
      <c r="C196" s="333"/>
      <c r="D196" s="333"/>
      <c r="E196" s="333"/>
      <c r="F196" s="333"/>
      <c r="G196" s="334"/>
      <c r="H196" s="331"/>
    </row>
    <row r="197">
      <c r="B197" s="333"/>
      <c r="C197" s="333"/>
      <c r="D197" s="333"/>
      <c r="E197" s="333"/>
      <c r="F197" s="333"/>
      <c r="G197" s="334"/>
      <c r="H197" s="331"/>
    </row>
    <row r="198">
      <c r="B198" s="333"/>
      <c r="C198" s="333"/>
      <c r="D198" s="333"/>
      <c r="E198" s="333"/>
      <c r="F198" s="333"/>
      <c r="G198" s="334"/>
      <c r="H198" s="331"/>
    </row>
    <row r="199">
      <c r="B199" s="333"/>
      <c r="C199" s="333"/>
      <c r="D199" s="333"/>
      <c r="E199" s="333"/>
      <c r="F199" s="333"/>
      <c r="G199" s="334"/>
      <c r="H199" s="331"/>
    </row>
    <row r="200">
      <c r="B200" s="333"/>
      <c r="C200" s="333"/>
      <c r="D200" s="333"/>
      <c r="E200" s="333"/>
      <c r="F200" s="333"/>
      <c r="G200" s="334"/>
      <c r="H200" s="331"/>
    </row>
    <row r="201">
      <c r="B201" s="333"/>
      <c r="C201" s="333"/>
      <c r="D201" s="333"/>
      <c r="E201" s="333"/>
      <c r="F201" s="333"/>
      <c r="G201" s="334"/>
      <c r="H201" s="331"/>
    </row>
    <row r="202">
      <c r="B202" s="333"/>
      <c r="C202" s="333"/>
      <c r="D202" s="333"/>
      <c r="E202" s="333"/>
      <c r="F202" s="333"/>
      <c r="G202" s="334"/>
      <c r="H202" s="331"/>
    </row>
    <row r="203">
      <c r="B203" s="333"/>
      <c r="C203" s="333"/>
      <c r="D203" s="333"/>
      <c r="E203" s="333"/>
      <c r="F203" s="333"/>
      <c r="G203" s="334"/>
      <c r="H203" s="331"/>
    </row>
    <row r="204">
      <c r="B204" s="333"/>
      <c r="C204" s="333"/>
      <c r="D204" s="333"/>
      <c r="E204" s="333"/>
      <c r="F204" s="333"/>
      <c r="G204" s="334"/>
      <c r="H204" s="331"/>
    </row>
    <row r="205">
      <c r="B205" s="333"/>
      <c r="C205" s="333"/>
      <c r="D205" s="333"/>
      <c r="E205" s="333"/>
      <c r="F205" s="333"/>
      <c r="G205" s="334"/>
      <c r="H205" s="331"/>
    </row>
    <row r="206">
      <c r="B206" s="333"/>
      <c r="C206" s="333"/>
      <c r="D206" s="333"/>
      <c r="E206" s="333"/>
      <c r="F206" s="333"/>
      <c r="G206" s="334"/>
      <c r="H206" s="331"/>
    </row>
    <row r="207">
      <c r="B207" s="333"/>
      <c r="C207" s="333"/>
      <c r="D207" s="333"/>
      <c r="E207" s="333"/>
      <c r="F207" s="333"/>
      <c r="G207" s="334"/>
      <c r="H207" s="331"/>
    </row>
    <row r="208">
      <c r="B208" s="333"/>
      <c r="C208" s="333"/>
      <c r="D208" s="333"/>
      <c r="E208" s="333"/>
      <c r="F208" s="333"/>
      <c r="G208" s="334"/>
      <c r="H208" s="331"/>
    </row>
    <row r="209">
      <c r="B209" s="333"/>
      <c r="C209" s="333"/>
      <c r="D209" s="333"/>
      <c r="E209" s="333"/>
      <c r="F209" s="333"/>
      <c r="G209" s="334"/>
      <c r="H209" s="331"/>
    </row>
    <row r="210">
      <c r="B210" s="333"/>
      <c r="C210" s="333"/>
      <c r="D210" s="333"/>
      <c r="E210" s="333"/>
      <c r="F210" s="333"/>
      <c r="G210" s="334"/>
      <c r="H210" s="331"/>
    </row>
    <row r="211">
      <c r="B211" s="333"/>
      <c r="C211" s="333"/>
      <c r="D211" s="333"/>
      <c r="E211" s="333"/>
      <c r="F211" s="333"/>
      <c r="G211" s="334"/>
      <c r="H211" s="331"/>
    </row>
    <row r="212">
      <c r="B212" s="333"/>
      <c r="C212" s="333"/>
      <c r="D212" s="333"/>
      <c r="E212" s="333"/>
      <c r="F212" s="333"/>
      <c r="G212" s="334"/>
      <c r="H212" s="331"/>
    </row>
    <row r="213">
      <c r="B213" s="333"/>
      <c r="C213" s="333"/>
      <c r="D213" s="333"/>
      <c r="E213" s="333"/>
      <c r="F213" s="333"/>
      <c r="G213" s="334"/>
      <c r="H213" s="331"/>
    </row>
    <row r="214">
      <c r="B214" s="333"/>
      <c r="C214" s="333"/>
      <c r="D214" s="333"/>
      <c r="E214" s="333"/>
      <c r="F214" s="333"/>
      <c r="G214" s="334"/>
      <c r="H214" s="331"/>
    </row>
    <row r="215">
      <c r="B215" s="333"/>
      <c r="C215" s="333"/>
      <c r="D215" s="333"/>
      <c r="E215" s="333"/>
      <c r="F215" s="333"/>
      <c r="G215" s="334"/>
      <c r="H215" s="331"/>
    </row>
    <row r="216">
      <c r="B216" s="333"/>
      <c r="C216" s="333"/>
      <c r="D216" s="333"/>
      <c r="E216" s="333"/>
      <c r="F216" s="333"/>
      <c r="G216" s="334"/>
      <c r="H216" s="331"/>
    </row>
    <row r="217">
      <c r="B217" s="333"/>
      <c r="C217" s="333"/>
      <c r="D217" s="333"/>
      <c r="E217" s="333"/>
      <c r="F217" s="333"/>
      <c r="G217" s="334"/>
      <c r="H217" s="331"/>
    </row>
    <row r="218">
      <c r="B218" s="333"/>
      <c r="C218" s="333"/>
      <c r="D218" s="333"/>
      <c r="E218" s="333"/>
      <c r="F218" s="333"/>
      <c r="G218" s="334"/>
      <c r="H218" s="331"/>
    </row>
    <row r="219">
      <c r="B219" s="333"/>
      <c r="C219" s="333"/>
      <c r="D219" s="333"/>
      <c r="E219" s="333"/>
      <c r="F219" s="333"/>
      <c r="G219" s="334"/>
      <c r="H219" s="331"/>
    </row>
    <row r="220">
      <c r="B220" s="333"/>
      <c r="C220" s="333"/>
      <c r="D220" s="333"/>
      <c r="E220" s="333"/>
      <c r="F220" s="333"/>
      <c r="G220" s="334"/>
      <c r="H220" s="331"/>
    </row>
    <row r="221">
      <c r="B221" s="333"/>
      <c r="C221" s="333"/>
      <c r="D221" s="333"/>
      <c r="E221" s="333"/>
      <c r="F221" s="333"/>
      <c r="G221" s="334"/>
      <c r="H221" s="331"/>
    </row>
    <row r="222">
      <c r="B222" s="333"/>
      <c r="C222" s="333"/>
      <c r="D222" s="333"/>
      <c r="E222" s="333"/>
      <c r="F222" s="333"/>
      <c r="G222" s="334"/>
      <c r="H222" s="331"/>
    </row>
    <row r="223">
      <c r="B223" s="333"/>
      <c r="C223" s="333"/>
      <c r="D223" s="333"/>
      <c r="E223" s="333"/>
      <c r="F223" s="333"/>
      <c r="G223" s="334"/>
      <c r="H223" s="331"/>
    </row>
    <row r="224">
      <c r="B224" s="333"/>
      <c r="C224" s="333"/>
      <c r="D224" s="333"/>
      <c r="E224" s="333"/>
      <c r="F224" s="333"/>
      <c r="G224" s="334"/>
      <c r="H224" s="331"/>
    </row>
    <row r="225">
      <c r="B225" s="333"/>
      <c r="C225" s="333"/>
      <c r="D225" s="333"/>
      <c r="E225" s="333"/>
      <c r="F225" s="333"/>
      <c r="G225" s="334"/>
      <c r="H225" s="331"/>
    </row>
    <row r="226">
      <c r="B226" s="333"/>
      <c r="C226" s="333"/>
      <c r="D226" s="333"/>
      <c r="E226" s="333"/>
      <c r="F226" s="333"/>
      <c r="G226" s="334"/>
      <c r="H226" s="331"/>
    </row>
    <row r="227">
      <c r="B227" s="333"/>
      <c r="C227" s="333"/>
      <c r="D227" s="333"/>
      <c r="E227" s="333"/>
      <c r="F227" s="333"/>
      <c r="G227" s="334"/>
      <c r="H227" s="331"/>
    </row>
    <row r="228">
      <c r="B228" s="333"/>
      <c r="C228" s="333"/>
      <c r="D228" s="333"/>
      <c r="E228" s="333"/>
      <c r="F228" s="333"/>
      <c r="G228" s="334"/>
      <c r="H228" s="331"/>
    </row>
    <row r="229">
      <c r="B229" s="333"/>
      <c r="C229" s="333"/>
      <c r="D229" s="333"/>
      <c r="E229" s="333"/>
      <c r="F229" s="333"/>
      <c r="G229" s="334"/>
      <c r="H229" s="331"/>
    </row>
    <row r="230">
      <c r="B230" s="333"/>
      <c r="C230" s="333"/>
      <c r="D230" s="333"/>
      <c r="E230" s="333"/>
      <c r="F230" s="333"/>
      <c r="G230" s="334"/>
      <c r="H230" s="331"/>
    </row>
    <row r="231">
      <c r="B231" s="333"/>
      <c r="C231" s="333"/>
      <c r="D231" s="333"/>
      <c r="E231" s="333"/>
      <c r="F231" s="333"/>
      <c r="G231" s="334"/>
      <c r="H231" s="331"/>
    </row>
    <row r="232">
      <c r="B232" s="333"/>
      <c r="C232" s="333"/>
      <c r="D232" s="333"/>
      <c r="E232" s="333"/>
      <c r="F232" s="333"/>
      <c r="G232" s="334"/>
      <c r="H232" s="331"/>
    </row>
    <row r="233">
      <c r="B233" s="333"/>
      <c r="C233" s="333"/>
      <c r="D233" s="333"/>
      <c r="E233" s="333"/>
      <c r="F233" s="333"/>
      <c r="G233" s="334"/>
      <c r="H233" s="331"/>
    </row>
    <row r="234">
      <c r="B234" s="333"/>
      <c r="C234" s="333"/>
      <c r="D234" s="333"/>
      <c r="E234" s="333"/>
      <c r="F234" s="333"/>
      <c r="G234" s="334"/>
      <c r="H234" s="331"/>
    </row>
    <row r="235">
      <c r="B235" s="333"/>
      <c r="C235" s="333"/>
      <c r="D235" s="333"/>
      <c r="E235" s="333"/>
      <c r="F235" s="333"/>
      <c r="G235" s="334"/>
      <c r="H235" s="331"/>
    </row>
    <row r="236">
      <c r="B236" s="333"/>
      <c r="C236" s="333"/>
      <c r="D236" s="333"/>
      <c r="E236" s="333"/>
      <c r="F236" s="333"/>
      <c r="G236" s="334"/>
      <c r="H236" s="331"/>
    </row>
    <row r="237">
      <c r="B237" s="333"/>
      <c r="C237" s="333"/>
      <c r="D237" s="333"/>
      <c r="E237" s="333"/>
      <c r="F237" s="333"/>
      <c r="G237" s="334"/>
      <c r="H237" s="331"/>
    </row>
    <row r="238">
      <c r="B238" s="333"/>
      <c r="C238" s="333"/>
      <c r="D238" s="333"/>
      <c r="E238" s="333"/>
      <c r="F238" s="333"/>
      <c r="G238" s="334"/>
      <c r="H238" s="331"/>
    </row>
    <row r="239">
      <c r="B239" s="333"/>
      <c r="C239" s="333"/>
      <c r="D239" s="333"/>
      <c r="E239" s="333"/>
      <c r="F239" s="333"/>
      <c r="G239" s="334"/>
      <c r="H239" s="331"/>
    </row>
    <row r="240">
      <c r="B240" s="333"/>
      <c r="C240" s="333"/>
      <c r="D240" s="333"/>
      <c r="E240" s="333"/>
      <c r="F240" s="333"/>
      <c r="G240" s="334"/>
      <c r="H240" s="331"/>
    </row>
    <row r="241">
      <c r="B241" s="333"/>
      <c r="C241" s="333"/>
      <c r="D241" s="333"/>
      <c r="E241" s="333"/>
      <c r="F241" s="333"/>
      <c r="G241" s="334"/>
      <c r="H241" s="331"/>
    </row>
    <row r="242">
      <c r="B242" s="333"/>
      <c r="C242" s="333"/>
      <c r="D242" s="333"/>
      <c r="E242" s="333"/>
      <c r="F242" s="333"/>
      <c r="G242" s="334"/>
      <c r="H242" s="331"/>
    </row>
    <row r="243">
      <c r="B243" s="333"/>
      <c r="C243" s="333"/>
      <c r="D243" s="333"/>
      <c r="E243" s="333"/>
      <c r="F243" s="333"/>
      <c r="G243" s="334"/>
      <c r="H243" s="331"/>
    </row>
    <row r="244">
      <c r="B244" s="333"/>
      <c r="C244" s="333"/>
      <c r="D244" s="333"/>
      <c r="E244" s="333"/>
      <c r="F244" s="333"/>
      <c r="G244" s="334"/>
      <c r="H244" s="331"/>
    </row>
    <row r="245">
      <c r="B245" s="333"/>
      <c r="C245" s="333"/>
      <c r="D245" s="333"/>
      <c r="E245" s="333"/>
      <c r="F245" s="333"/>
      <c r="G245" s="334"/>
      <c r="H245" s="331"/>
    </row>
    <row r="246">
      <c r="B246" s="333"/>
      <c r="C246" s="333"/>
      <c r="D246" s="333"/>
      <c r="E246" s="333"/>
      <c r="F246" s="333"/>
      <c r="G246" s="334"/>
      <c r="H246" s="331"/>
    </row>
    <row r="247">
      <c r="B247" s="333"/>
      <c r="C247" s="333"/>
      <c r="D247" s="333"/>
      <c r="E247" s="333"/>
      <c r="F247" s="333"/>
      <c r="G247" s="334"/>
      <c r="H247" s="331"/>
    </row>
    <row r="248">
      <c r="B248" s="333"/>
      <c r="C248" s="333"/>
      <c r="D248" s="333"/>
      <c r="E248" s="333"/>
      <c r="F248" s="333"/>
      <c r="G248" s="334"/>
      <c r="H248" s="331"/>
    </row>
    <row r="249">
      <c r="B249" s="333"/>
      <c r="C249" s="333"/>
      <c r="D249" s="333"/>
      <c r="E249" s="333"/>
      <c r="F249" s="333"/>
      <c r="G249" s="334"/>
      <c r="H249" s="331"/>
    </row>
    <row r="250">
      <c r="B250" s="333"/>
      <c r="C250" s="333"/>
      <c r="D250" s="333"/>
      <c r="E250" s="333"/>
      <c r="F250" s="333"/>
      <c r="G250" s="334"/>
      <c r="H250" s="331"/>
    </row>
    <row r="251">
      <c r="B251" s="333"/>
      <c r="C251" s="333"/>
      <c r="D251" s="333"/>
      <c r="E251" s="333"/>
      <c r="F251" s="333"/>
      <c r="G251" s="334"/>
      <c r="H251" s="331"/>
    </row>
    <row r="252">
      <c r="B252" s="333"/>
      <c r="C252" s="333"/>
      <c r="D252" s="333"/>
      <c r="E252" s="333"/>
      <c r="F252" s="333"/>
      <c r="G252" s="334"/>
      <c r="H252" s="331"/>
    </row>
    <row r="253">
      <c r="B253" s="333"/>
      <c r="C253" s="333"/>
      <c r="D253" s="333"/>
      <c r="E253" s="333"/>
      <c r="F253" s="333"/>
      <c r="G253" s="334"/>
      <c r="H253" s="331"/>
    </row>
    <row r="254">
      <c r="B254" s="333"/>
      <c r="C254" s="333"/>
      <c r="D254" s="333"/>
      <c r="E254" s="333"/>
      <c r="F254" s="333"/>
      <c r="G254" s="334"/>
      <c r="H254" s="331"/>
    </row>
    <row r="255">
      <c r="B255" s="333"/>
      <c r="C255" s="333"/>
      <c r="D255" s="333"/>
      <c r="E255" s="333"/>
      <c r="F255" s="333"/>
      <c r="G255" s="334"/>
      <c r="H255" s="331"/>
    </row>
    <row r="256">
      <c r="B256" s="333"/>
      <c r="C256" s="333"/>
      <c r="D256" s="333"/>
      <c r="E256" s="333"/>
      <c r="F256" s="333"/>
      <c r="G256" s="334"/>
      <c r="H256" s="331"/>
    </row>
    <row r="257">
      <c r="B257" s="333"/>
      <c r="C257" s="333"/>
      <c r="D257" s="333"/>
      <c r="E257" s="333"/>
      <c r="F257" s="333"/>
      <c r="G257" s="334"/>
      <c r="H257" s="331"/>
    </row>
    <row r="258">
      <c r="B258" s="333"/>
      <c r="C258" s="333"/>
      <c r="D258" s="333"/>
      <c r="E258" s="333"/>
      <c r="F258" s="333"/>
      <c r="G258" s="334"/>
      <c r="H258" s="331"/>
    </row>
    <row r="259">
      <c r="B259" s="333"/>
      <c r="C259" s="333"/>
      <c r="D259" s="333"/>
      <c r="E259" s="333"/>
      <c r="F259" s="333"/>
      <c r="G259" s="334"/>
      <c r="H259" s="331"/>
    </row>
    <row r="260">
      <c r="B260" s="333"/>
      <c r="C260" s="333"/>
      <c r="D260" s="333"/>
      <c r="E260" s="333"/>
      <c r="F260" s="333"/>
      <c r="G260" s="334"/>
      <c r="H260" s="331"/>
    </row>
    <row r="261">
      <c r="B261" s="333"/>
      <c r="C261" s="333"/>
      <c r="D261" s="333"/>
      <c r="E261" s="333"/>
      <c r="F261" s="333"/>
      <c r="G261" s="334"/>
      <c r="H261" s="331"/>
    </row>
    <row r="262">
      <c r="B262" s="333"/>
      <c r="C262" s="333"/>
      <c r="D262" s="333"/>
      <c r="E262" s="333"/>
      <c r="F262" s="333"/>
      <c r="G262" s="334"/>
      <c r="H262" s="331"/>
    </row>
    <row r="263">
      <c r="B263" s="333"/>
      <c r="C263" s="333"/>
      <c r="D263" s="333"/>
      <c r="E263" s="333"/>
      <c r="F263" s="333"/>
      <c r="G263" s="334"/>
      <c r="H263" s="331"/>
    </row>
    <row r="264">
      <c r="B264" s="333"/>
      <c r="C264" s="333"/>
      <c r="D264" s="333"/>
      <c r="E264" s="333"/>
      <c r="F264" s="333"/>
      <c r="G264" s="334"/>
      <c r="H264" s="331"/>
    </row>
    <row r="265">
      <c r="B265" s="333"/>
      <c r="C265" s="333"/>
      <c r="D265" s="333"/>
      <c r="E265" s="333"/>
      <c r="F265" s="333"/>
      <c r="G265" s="334"/>
      <c r="H265" s="331"/>
    </row>
    <row r="266">
      <c r="B266" s="333"/>
      <c r="C266" s="333"/>
      <c r="D266" s="333"/>
      <c r="E266" s="333"/>
      <c r="F266" s="333"/>
      <c r="G266" s="334"/>
      <c r="H266" s="331"/>
    </row>
    <row r="267">
      <c r="B267" s="333"/>
      <c r="C267" s="333"/>
      <c r="D267" s="333"/>
      <c r="E267" s="333"/>
      <c r="F267" s="333"/>
      <c r="G267" s="334"/>
      <c r="H267" s="331"/>
    </row>
    <row r="268">
      <c r="B268" s="333"/>
      <c r="C268" s="333"/>
      <c r="D268" s="333"/>
      <c r="E268" s="333"/>
      <c r="F268" s="333"/>
      <c r="G268" s="334"/>
      <c r="H268" s="331"/>
    </row>
    <row r="269">
      <c r="B269" s="333"/>
      <c r="C269" s="333"/>
      <c r="D269" s="333"/>
      <c r="E269" s="333"/>
      <c r="F269" s="333"/>
      <c r="G269" s="334"/>
      <c r="H269" s="331"/>
    </row>
    <row r="270">
      <c r="B270" s="333"/>
      <c r="C270" s="333"/>
      <c r="D270" s="333"/>
      <c r="E270" s="333"/>
      <c r="F270" s="333"/>
      <c r="G270" s="334"/>
      <c r="H270" s="331"/>
    </row>
    <row r="271">
      <c r="B271" s="333"/>
      <c r="C271" s="333"/>
      <c r="D271" s="333"/>
      <c r="E271" s="333"/>
      <c r="F271" s="333"/>
      <c r="G271" s="334"/>
      <c r="H271" s="331"/>
    </row>
    <row r="272">
      <c r="B272" s="333"/>
      <c r="C272" s="333"/>
      <c r="D272" s="333"/>
      <c r="E272" s="333"/>
      <c r="F272" s="333"/>
      <c r="G272" s="334"/>
      <c r="H272" s="331"/>
    </row>
    <row r="273">
      <c r="B273" s="333"/>
      <c r="C273" s="333"/>
      <c r="D273" s="333"/>
      <c r="E273" s="333"/>
      <c r="F273" s="333"/>
      <c r="G273" s="334"/>
      <c r="H273" s="331"/>
    </row>
    <row r="274">
      <c r="B274" s="333"/>
      <c r="C274" s="333"/>
      <c r="D274" s="333"/>
      <c r="E274" s="333"/>
      <c r="F274" s="333"/>
      <c r="G274" s="334"/>
      <c r="H274" s="331"/>
    </row>
    <row r="275">
      <c r="B275" s="333"/>
      <c r="C275" s="333"/>
      <c r="D275" s="333"/>
      <c r="E275" s="333"/>
      <c r="F275" s="333"/>
      <c r="G275" s="334"/>
      <c r="H275" s="331"/>
    </row>
    <row r="276">
      <c r="B276" s="333"/>
      <c r="C276" s="333"/>
      <c r="D276" s="333"/>
      <c r="E276" s="333"/>
      <c r="F276" s="333"/>
      <c r="G276" s="334"/>
      <c r="H276" s="331"/>
    </row>
    <row r="277">
      <c r="B277" s="333"/>
      <c r="C277" s="333"/>
      <c r="D277" s="333"/>
      <c r="E277" s="333"/>
      <c r="F277" s="333"/>
      <c r="G277" s="334"/>
      <c r="H277" s="331"/>
    </row>
    <row r="278">
      <c r="B278" s="333"/>
      <c r="C278" s="333"/>
      <c r="D278" s="333"/>
      <c r="E278" s="333"/>
      <c r="F278" s="333"/>
      <c r="G278" s="334"/>
      <c r="H278" s="331"/>
    </row>
    <row r="279">
      <c r="B279" s="333"/>
      <c r="C279" s="333"/>
      <c r="D279" s="333"/>
      <c r="E279" s="333"/>
      <c r="F279" s="333"/>
      <c r="G279" s="334"/>
      <c r="H279" s="331"/>
    </row>
    <row r="280">
      <c r="B280" s="333"/>
      <c r="C280" s="333"/>
      <c r="D280" s="333"/>
      <c r="E280" s="333"/>
      <c r="F280" s="333"/>
      <c r="G280" s="334"/>
      <c r="H280" s="331"/>
    </row>
    <row r="281">
      <c r="B281" s="333"/>
      <c r="C281" s="333"/>
      <c r="D281" s="333"/>
      <c r="E281" s="333"/>
      <c r="F281" s="333"/>
      <c r="G281" s="334"/>
      <c r="H281" s="331"/>
    </row>
    <row r="282">
      <c r="B282" s="333"/>
      <c r="C282" s="333"/>
      <c r="D282" s="333"/>
      <c r="E282" s="333"/>
      <c r="F282" s="333"/>
      <c r="G282" s="334"/>
      <c r="H282" s="331"/>
    </row>
    <row r="283">
      <c r="B283" s="333"/>
      <c r="C283" s="333"/>
      <c r="D283" s="333"/>
      <c r="E283" s="333"/>
      <c r="F283" s="333"/>
      <c r="G283" s="334"/>
      <c r="H283" s="331"/>
    </row>
    <row r="284">
      <c r="B284" s="333"/>
      <c r="C284" s="333"/>
      <c r="D284" s="333"/>
      <c r="E284" s="333"/>
      <c r="F284" s="333"/>
      <c r="G284" s="334"/>
      <c r="H284" s="331"/>
    </row>
    <row r="285">
      <c r="B285" s="333"/>
      <c r="C285" s="333"/>
      <c r="D285" s="333"/>
      <c r="E285" s="333"/>
      <c r="F285" s="333"/>
      <c r="G285" s="334"/>
      <c r="H285" s="331"/>
    </row>
    <row r="286">
      <c r="B286" s="333"/>
      <c r="C286" s="333"/>
      <c r="D286" s="333"/>
      <c r="E286" s="333"/>
      <c r="F286" s="333"/>
      <c r="G286" s="334"/>
      <c r="H286" s="331"/>
    </row>
    <row r="287">
      <c r="B287" s="333"/>
      <c r="C287" s="333"/>
      <c r="D287" s="333"/>
      <c r="E287" s="333"/>
      <c r="F287" s="333"/>
      <c r="G287" s="334"/>
      <c r="H287" s="331"/>
    </row>
    <row r="288">
      <c r="B288" s="333"/>
      <c r="C288" s="333"/>
      <c r="D288" s="333"/>
      <c r="E288" s="333"/>
      <c r="F288" s="333"/>
      <c r="G288" s="334"/>
      <c r="H288" s="331"/>
    </row>
    <row r="289">
      <c r="B289" s="333"/>
      <c r="C289" s="333"/>
      <c r="D289" s="333"/>
      <c r="E289" s="333"/>
      <c r="F289" s="333"/>
      <c r="G289" s="334"/>
      <c r="H289" s="331"/>
    </row>
    <row r="290">
      <c r="B290" s="333"/>
      <c r="C290" s="333"/>
      <c r="D290" s="333"/>
      <c r="E290" s="333"/>
      <c r="F290" s="333"/>
      <c r="G290" s="334"/>
      <c r="H290" s="331"/>
    </row>
    <row r="291">
      <c r="B291" s="333"/>
      <c r="C291" s="333"/>
      <c r="D291" s="333"/>
      <c r="E291" s="333"/>
      <c r="F291" s="333"/>
      <c r="G291" s="334"/>
      <c r="H291" s="331"/>
    </row>
    <row r="292">
      <c r="B292" s="333"/>
      <c r="C292" s="333"/>
      <c r="D292" s="333"/>
      <c r="E292" s="333"/>
      <c r="F292" s="333"/>
      <c r="G292" s="334"/>
      <c r="H292" s="331"/>
    </row>
    <row r="293">
      <c r="B293" s="333"/>
      <c r="C293" s="333"/>
      <c r="D293" s="333"/>
      <c r="E293" s="333"/>
      <c r="F293" s="333"/>
      <c r="G293" s="334"/>
      <c r="H293" s="331"/>
    </row>
    <row r="294">
      <c r="B294" s="333"/>
      <c r="C294" s="333"/>
      <c r="D294" s="333"/>
      <c r="E294" s="333"/>
      <c r="F294" s="333"/>
      <c r="G294" s="334"/>
      <c r="H294" s="331"/>
    </row>
    <row r="295">
      <c r="B295" s="333"/>
      <c r="C295" s="333"/>
      <c r="D295" s="333"/>
      <c r="E295" s="333"/>
      <c r="F295" s="333"/>
      <c r="G295" s="334"/>
      <c r="H295" s="331"/>
    </row>
    <row r="296">
      <c r="B296" s="333"/>
      <c r="C296" s="333"/>
      <c r="D296" s="333"/>
      <c r="E296" s="333"/>
      <c r="F296" s="333"/>
      <c r="G296" s="334"/>
      <c r="H296" s="331"/>
    </row>
    <row r="297">
      <c r="B297" s="333"/>
      <c r="C297" s="333"/>
      <c r="D297" s="333"/>
      <c r="E297" s="333"/>
      <c r="F297" s="333"/>
      <c r="G297" s="334"/>
      <c r="H297" s="331"/>
    </row>
    <row r="298">
      <c r="B298" s="333"/>
      <c r="C298" s="333"/>
      <c r="D298" s="333"/>
      <c r="E298" s="333"/>
      <c r="F298" s="333"/>
      <c r="G298" s="334"/>
      <c r="H298" s="331"/>
    </row>
    <row r="299">
      <c r="B299" s="333"/>
      <c r="C299" s="333"/>
      <c r="D299" s="333"/>
      <c r="E299" s="333"/>
      <c r="F299" s="333"/>
      <c r="G299" s="334"/>
      <c r="H299" s="331"/>
    </row>
    <row r="300">
      <c r="B300" s="333"/>
      <c r="C300" s="333"/>
      <c r="D300" s="333"/>
      <c r="E300" s="333"/>
      <c r="F300" s="333"/>
      <c r="G300" s="334"/>
      <c r="H300" s="331"/>
    </row>
    <row r="301">
      <c r="B301" s="333"/>
      <c r="C301" s="333"/>
      <c r="D301" s="333"/>
      <c r="E301" s="333"/>
      <c r="F301" s="333"/>
      <c r="G301" s="334"/>
      <c r="H301" s="331"/>
    </row>
    <row r="302">
      <c r="B302" s="333"/>
      <c r="C302" s="333"/>
      <c r="D302" s="333"/>
      <c r="E302" s="333"/>
      <c r="F302" s="333"/>
      <c r="G302" s="334"/>
      <c r="H302" s="331"/>
    </row>
    <row r="303">
      <c r="B303" s="333"/>
      <c r="C303" s="333"/>
      <c r="D303" s="333"/>
      <c r="E303" s="333"/>
      <c r="F303" s="333"/>
      <c r="G303" s="334"/>
      <c r="H303" s="331"/>
    </row>
    <row r="304">
      <c r="B304" s="333"/>
      <c r="C304" s="333"/>
      <c r="D304" s="333"/>
      <c r="E304" s="333"/>
      <c r="F304" s="333"/>
      <c r="G304" s="334"/>
      <c r="H304" s="331"/>
    </row>
    <row r="305">
      <c r="B305" s="333"/>
      <c r="C305" s="333"/>
      <c r="D305" s="333"/>
      <c r="E305" s="333"/>
      <c r="F305" s="333"/>
      <c r="G305" s="334"/>
      <c r="H305" s="331"/>
    </row>
    <row r="306">
      <c r="B306" s="333"/>
      <c r="C306" s="333"/>
      <c r="D306" s="333"/>
      <c r="E306" s="333"/>
      <c r="F306" s="333"/>
      <c r="G306" s="334"/>
      <c r="H306" s="331"/>
    </row>
    <row r="307">
      <c r="B307" s="333"/>
      <c r="C307" s="333"/>
      <c r="D307" s="333"/>
      <c r="E307" s="333"/>
      <c r="F307" s="333"/>
      <c r="G307" s="334"/>
      <c r="H307" s="331"/>
    </row>
    <row r="308">
      <c r="B308" s="333"/>
      <c r="C308" s="333"/>
      <c r="D308" s="333"/>
      <c r="E308" s="333"/>
      <c r="F308" s="333"/>
      <c r="G308" s="334"/>
      <c r="H308" s="331"/>
    </row>
    <row r="309">
      <c r="B309" s="333"/>
      <c r="C309" s="333"/>
      <c r="D309" s="333"/>
      <c r="E309" s="333"/>
      <c r="F309" s="333"/>
      <c r="G309" s="334"/>
      <c r="H309" s="331"/>
    </row>
    <row r="310">
      <c r="B310" s="333"/>
      <c r="C310" s="333"/>
      <c r="D310" s="333"/>
      <c r="E310" s="333"/>
      <c r="F310" s="333"/>
      <c r="G310" s="334"/>
      <c r="H310" s="331"/>
    </row>
    <row r="311">
      <c r="B311" s="333"/>
      <c r="C311" s="333"/>
      <c r="D311" s="333"/>
      <c r="E311" s="333"/>
      <c r="F311" s="333"/>
      <c r="G311" s="334"/>
      <c r="H311" s="331"/>
    </row>
    <row r="312">
      <c r="B312" s="333"/>
      <c r="C312" s="333"/>
      <c r="D312" s="333"/>
      <c r="E312" s="333"/>
      <c r="F312" s="333"/>
      <c r="G312" s="334"/>
      <c r="H312" s="331"/>
    </row>
    <row r="313">
      <c r="B313" s="333"/>
      <c r="C313" s="333"/>
      <c r="D313" s="333"/>
      <c r="E313" s="333"/>
      <c r="F313" s="333"/>
      <c r="G313" s="334"/>
      <c r="H313" s="331"/>
    </row>
    <row r="314">
      <c r="B314" s="333"/>
      <c r="C314" s="333"/>
      <c r="D314" s="333"/>
      <c r="E314" s="333"/>
      <c r="F314" s="333"/>
      <c r="G314" s="334"/>
      <c r="H314" s="331"/>
    </row>
    <row r="315">
      <c r="B315" s="333"/>
      <c r="C315" s="333"/>
      <c r="D315" s="333"/>
      <c r="E315" s="333"/>
      <c r="F315" s="333"/>
      <c r="G315" s="334"/>
      <c r="H315" s="331"/>
    </row>
    <row r="316">
      <c r="B316" s="333"/>
      <c r="C316" s="333"/>
      <c r="D316" s="333"/>
      <c r="E316" s="333"/>
      <c r="F316" s="333"/>
      <c r="G316" s="334"/>
      <c r="H316" s="331"/>
    </row>
    <row r="317">
      <c r="B317" s="333"/>
      <c r="C317" s="333"/>
      <c r="D317" s="333"/>
      <c r="E317" s="333"/>
      <c r="F317" s="333"/>
      <c r="G317" s="334"/>
      <c r="H317" s="331"/>
    </row>
    <row r="318">
      <c r="B318" s="333"/>
      <c r="C318" s="333"/>
      <c r="D318" s="333"/>
      <c r="E318" s="333"/>
      <c r="F318" s="333"/>
      <c r="G318" s="334"/>
      <c r="H318" s="331"/>
    </row>
    <row r="319">
      <c r="B319" s="333"/>
      <c r="C319" s="333"/>
      <c r="D319" s="333"/>
      <c r="E319" s="333"/>
      <c r="F319" s="333"/>
      <c r="G319" s="334"/>
      <c r="H319" s="331"/>
    </row>
    <row r="320">
      <c r="B320" s="333"/>
      <c r="C320" s="333"/>
      <c r="D320" s="333"/>
      <c r="E320" s="333"/>
      <c r="F320" s="333"/>
      <c r="G320" s="334"/>
      <c r="H320" s="331"/>
    </row>
    <row r="321">
      <c r="B321" s="333"/>
      <c r="C321" s="333"/>
      <c r="D321" s="333"/>
      <c r="E321" s="333"/>
      <c r="F321" s="333"/>
      <c r="G321" s="334"/>
      <c r="H321" s="331"/>
    </row>
    <row r="322">
      <c r="B322" s="333"/>
      <c r="C322" s="333"/>
      <c r="D322" s="333"/>
      <c r="E322" s="333"/>
      <c r="F322" s="333"/>
      <c r="G322" s="334"/>
      <c r="H322" s="331"/>
    </row>
    <row r="323">
      <c r="B323" s="333"/>
      <c r="C323" s="333"/>
      <c r="D323" s="333"/>
      <c r="E323" s="333"/>
      <c r="F323" s="333"/>
      <c r="G323" s="334"/>
      <c r="H323" s="331"/>
    </row>
    <row r="324">
      <c r="B324" s="333"/>
      <c r="C324" s="333"/>
      <c r="D324" s="333"/>
      <c r="E324" s="333"/>
      <c r="F324" s="333"/>
      <c r="G324" s="334"/>
      <c r="H324" s="331"/>
    </row>
    <row r="325">
      <c r="B325" s="333"/>
      <c r="C325" s="333"/>
      <c r="D325" s="333"/>
      <c r="E325" s="333"/>
      <c r="F325" s="333"/>
      <c r="G325" s="334"/>
      <c r="H325" s="331"/>
    </row>
    <row r="326">
      <c r="B326" s="333"/>
      <c r="C326" s="333"/>
      <c r="D326" s="333"/>
      <c r="E326" s="333"/>
      <c r="F326" s="333"/>
      <c r="G326" s="334"/>
      <c r="H326" s="331"/>
    </row>
    <row r="327">
      <c r="B327" s="333"/>
      <c r="C327" s="333"/>
      <c r="D327" s="333"/>
      <c r="E327" s="333"/>
      <c r="F327" s="333"/>
      <c r="G327" s="334"/>
      <c r="H327" s="331"/>
    </row>
    <row r="328">
      <c r="B328" s="333"/>
      <c r="C328" s="333"/>
      <c r="D328" s="333"/>
      <c r="E328" s="333"/>
      <c r="F328" s="333"/>
      <c r="G328" s="334"/>
      <c r="H328" s="331"/>
    </row>
    <row r="329">
      <c r="B329" s="333"/>
      <c r="C329" s="333"/>
      <c r="D329" s="333"/>
      <c r="E329" s="333"/>
      <c r="F329" s="333"/>
      <c r="G329" s="334"/>
      <c r="H329" s="331"/>
    </row>
    <row r="330">
      <c r="B330" s="333"/>
      <c r="C330" s="333"/>
      <c r="D330" s="333"/>
      <c r="E330" s="333"/>
      <c r="F330" s="333"/>
      <c r="G330" s="334"/>
      <c r="H330" s="331"/>
    </row>
    <row r="331">
      <c r="B331" s="333"/>
      <c r="C331" s="333"/>
      <c r="D331" s="333"/>
      <c r="E331" s="333"/>
      <c r="F331" s="333"/>
      <c r="G331" s="334"/>
      <c r="H331" s="331"/>
    </row>
    <row r="332">
      <c r="B332" s="333"/>
      <c r="C332" s="333"/>
      <c r="D332" s="333"/>
      <c r="E332" s="333"/>
      <c r="F332" s="333"/>
      <c r="G332" s="334"/>
      <c r="H332" s="331"/>
    </row>
    <row r="333">
      <c r="B333" s="333"/>
      <c r="C333" s="333"/>
      <c r="D333" s="333"/>
      <c r="E333" s="333"/>
      <c r="F333" s="333"/>
      <c r="G333" s="334"/>
      <c r="H333" s="331"/>
    </row>
    <row r="334">
      <c r="B334" s="333"/>
      <c r="C334" s="333"/>
      <c r="D334" s="333"/>
      <c r="E334" s="333"/>
      <c r="F334" s="333"/>
      <c r="G334" s="334"/>
      <c r="H334" s="331"/>
    </row>
    <row r="335">
      <c r="B335" s="333"/>
      <c r="C335" s="333"/>
      <c r="D335" s="333"/>
      <c r="E335" s="333"/>
      <c r="F335" s="333"/>
      <c r="G335" s="334"/>
      <c r="H335" s="331"/>
    </row>
    <row r="336">
      <c r="B336" s="333"/>
      <c r="C336" s="333"/>
      <c r="D336" s="333"/>
      <c r="E336" s="333"/>
      <c r="F336" s="333"/>
      <c r="G336" s="334"/>
      <c r="H336" s="331"/>
    </row>
    <row r="337">
      <c r="B337" s="333"/>
      <c r="C337" s="333"/>
      <c r="D337" s="333"/>
      <c r="E337" s="333"/>
      <c r="F337" s="333"/>
      <c r="G337" s="334"/>
      <c r="H337" s="331"/>
    </row>
    <row r="338">
      <c r="B338" s="333"/>
      <c r="C338" s="333"/>
      <c r="D338" s="333"/>
      <c r="E338" s="333"/>
      <c r="F338" s="333"/>
      <c r="G338" s="334"/>
      <c r="H338" s="331"/>
    </row>
    <row r="339">
      <c r="B339" s="333"/>
      <c r="C339" s="333"/>
      <c r="D339" s="333"/>
      <c r="E339" s="333"/>
      <c r="F339" s="333"/>
      <c r="G339" s="334"/>
      <c r="H339" s="331"/>
    </row>
    <row r="340">
      <c r="B340" s="333"/>
      <c r="C340" s="333"/>
      <c r="D340" s="333"/>
      <c r="E340" s="333"/>
      <c r="F340" s="333"/>
      <c r="G340" s="334"/>
      <c r="H340" s="331"/>
    </row>
    <row r="341">
      <c r="B341" s="333"/>
      <c r="C341" s="333"/>
      <c r="D341" s="333"/>
      <c r="E341" s="333"/>
      <c r="F341" s="333"/>
      <c r="G341" s="334"/>
      <c r="H341" s="331"/>
    </row>
    <row r="342">
      <c r="B342" s="333"/>
      <c r="C342" s="333"/>
      <c r="D342" s="333"/>
      <c r="E342" s="333"/>
      <c r="F342" s="333"/>
      <c r="G342" s="334"/>
      <c r="H342" s="331"/>
    </row>
    <row r="343">
      <c r="B343" s="333"/>
      <c r="C343" s="333"/>
      <c r="D343" s="333"/>
      <c r="E343" s="333"/>
      <c r="F343" s="333"/>
      <c r="G343" s="334"/>
      <c r="H343" s="331"/>
    </row>
    <row r="344">
      <c r="B344" s="333"/>
      <c r="C344" s="333"/>
      <c r="D344" s="333"/>
      <c r="E344" s="333"/>
      <c r="F344" s="333"/>
      <c r="G344" s="334"/>
      <c r="H344" s="331"/>
    </row>
    <row r="345">
      <c r="B345" s="333"/>
      <c r="C345" s="333"/>
      <c r="D345" s="333"/>
      <c r="E345" s="333"/>
      <c r="F345" s="333"/>
      <c r="G345" s="334"/>
      <c r="H345" s="331"/>
    </row>
    <row r="346">
      <c r="B346" s="333"/>
      <c r="C346" s="333"/>
      <c r="D346" s="333"/>
      <c r="E346" s="333"/>
      <c r="F346" s="333"/>
      <c r="G346" s="334"/>
      <c r="H346" s="331"/>
    </row>
    <row r="347">
      <c r="B347" s="333"/>
      <c r="C347" s="333"/>
      <c r="D347" s="333"/>
      <c r="E347" s="333"/>
      <c r="F347" s="333"/>
      <c r="G347" s="334"/>
      <c r="H347" s="331"/>
    </row>
    <row r="348">
      <c r="B348" s="333"/>
      <c r="C348" s="333"/>
      <c r="D348" s="333"/>
      <c r="E348" s="333"/>
      <c r="F348" s="333"/>
      <c r="G348" s="334"/>
      <c r="H348" s="331"/>
    </row>
    <row r="349">
      <c r="B349" s="333"/>
      <c r="C349" s="333"/>
      <c r="D349" s="333"/>
      <c r="E349" s="333"/>
      <c r="F349" s="333"/>
      <c r="G349" s="334"/>
      <c r="H349" s="331"/>
    </row>
    <row r="350">
      <c r="B350" s="333"/>
      <c r="C350" s="333"/>
      <c r="D350" s="333"/>
      <c r="E350" s="333"/>
      <c r="F350" s="333"/>
      <c r="G350" s="334"/>
      <c r="H350" s="331"/>
    </row>
    <row r="351">
      <c r="B351" s="333"/>
      <c r="C351" s="333"/>
      <c r="D351" s="333"/>
      <c r="E351" s="333"/>
      <c r="F351" s="333"/>
      <c r="G351" s="334"/>
      <c r="H351" s="331"/>
    </row>
    <row r="352">
      <c r="B352" s="333"/>
      <c r="C352" s="333"/>
      <c r="D352" s="333"/>
      <c r="E352" s="333"/>
      <c r="F352" s="333"/>
      <c r="G352" s="334"/>
      <c r="H352" s="331"/>
    </row>
    <row r="353">
      <c r="B353" s="333"/>
      <c r="C353" s="333"/>
      <c r="D353" s="333"/>
      <c r="E353" s="333"/>
      <c r="F353" s="333"/>
      <c r="G353" s="334"/>
      <c r="H353" s="331"/>
    </row>
    <row r="354">
      <c r="B354" s="333"/>
      <c r="C354" s="333"/>
      <c r="D354" s="333"/>
      <c r="E354" s="333"/>
      <c r="F354" s="333"/>
      <c r="G354" s="334"/>
      <c r="H354" s="331"/>
    </row>
    <row r="355">
      <c r="B355" s="333"/>
      <c r="C355" s="333"/>
      <c r="D355" s="333"/>
      <c r="E355" s="333"/>
      <c r="F355" s="333"/>
      <c r="G355" s="334"/>
      <c r="H355" s="331"/>
    </row>
    <row r="356">
      <c r="B356" s="333"/>
      <c r="C356" s="333"/>
      <c r="D356" s="333"/>
      <c r="E356" s="333"/>
      <c r="F356" s="333"/>
      <c r="G356" s="334"/>
      <c r="H356" s="331"/>
    </row>
    <row r="357">
      <c r="B357" s="333"/>
      <c r="C357" s="333"/>
      <c r="D357" s="333"/>
      <c r="E357" s="333"/>
      <c r="F357" s="333"/>
      <c r="G357" s="334"/>
      <c r="H357" s="331"/>
    </row>
    <row r="358">
      <c r="B358" s="333"/>
      <c r="C358" s="333"/>
      <c r="D358" s="333"/>
      <c r="E358" s="333"/>
      <c r="F358" s="333"/>
      <c r="G358" s="334"/>
      <c r="H358" s="331"/>
    </row>
    <row r="359">
      <c r="B359" s="333"/>
      <c r="C359" s="333"/>
      <c r="D359" s="333"/>
      <c r="E359" s="333"/>
      <c r="F359" s="333"/>
      <c r="G359" s="334"/>
      <c r="H359" s="331"/>
    </row>
    <row r="360">
      <c r="B360" s="333"/>
      <c r="C360" s="333"/>
      <c r="D360" s="333"/>
      <c r="E360" s="333"/>
      <c r="F360" s="333"/>
      <c r="G360" s="334"/>
      <c r="H360" s="331"/>
    </row>
    <row r="361">
      <c r="B361" s="333"/>
      <c r="C361" s="333"/>
      <c r="D361" s="333"/>
      <c r="E361" s="333"/>
      <c r="F361" s="333"/>
      <c r="G361" s="334"/>
      <c r="H361" s="331"/>
    </row>
    <row r="362">
      <c r="B362" s="333"/>
      <c r="C362" s="333"/>
      <c r="D362" s="333"/>
      <c r="E362" s="333"/>
      <c r="F362" s="333"/>
      <c r="G362" s="334"/>
      <c r="H362" s="331"/>
    </row>
    <row r="363">
      <c r="B363" s="333"/>
      <c r="C363" s="333"/>
      <c r="D363" s="333"/>
      <c r="E363" s="333"/>
      <c r="F363" s="333"/>
      <c r="G363" s="334"/>
      <c r="H363" s="331"/>
    </row>
    <row r="364">
      <c r="B364" s="333"/>
      <c r="C364" s="333"/>
      <c r="D364" s="333"/>
      <c r="E364" s="333"/>
      <c r="F364" s="333"/>
      <c r="G364" s="334"/>
      <c r="H364" s="331"/>
    </row>
    <row r="365">
      <c r="B365" s="333"/>
      <c r="C365" s="333"/>
      <c r="D365" s="333"/>
      <c r="E365" s="333"/>
      <c r="F365" s="333"/>
      <c r="G365" s="334"/>
      <c r="H365" s="331"/>
    </row>
    <row r="366">
      <c r="B366" s="333"/>
      <c r="C366" s="333"/>
      <c r="D366" s="333"/>
      <c r="E366" s="333"/>
      <c r="F366" s="333"/>
      <c r="G366" s="334"/>
      <c r="H366" s="331"/>
    </row>
    <row r="367">
      <c r="B367" s="333"/>
      <c r="C367" s="333"/>
      <c r="D367" s="333"/>
      <c r="E367" s="333"/>
      <c r="F367" s="333"/>
      <c r="G367" s="334"/>
      <c r="H367" s="331"/>
    </row>
    <row r="368">
      <c r="B368" s="333"/>
      <c r="C368" s="333"/>
      <c r="D368" s="333"/>
      <c r="E368" s="333"/>
      <c r="F368" s="333"/>
      <c r="G368" s="334"/>
      <c r="H368" s="331"/>
    </row>
    <row r="369">
      <c r="B369" s="333"/>
      <c r="C369" s="333"/>
      <c r="D369" s="333"/>
      <c r="E369" s="333"/>
      <c r="F369" s="333"/>
      <c r="G369" s="334"/>
      <c r="H369" s="331"/>
    </row>
    <row r="370">
      <c r="B370" s="333"/>
      <c r="C370" s="333"/>
      <c r="D370" s="333"/>
      <c r="E370" s="333"/>
      <c r="F370" s="333"/>
      <c r="G370" s="334"/>
      <c r="H370" s="331"/>
    </row>
    <row r="371">
      <c r="B371" s="333"/>
      <c r="C371" s="333"/>
      <c r="D371" s="333"/>
      <c r="E371" s="333"/>
      <c r="F371" s="333"/>
      <c r="G371" s="334"/>
      <c r="H371" s="331"/>
    </row>
    <row r="372">
      <c r="B372" s="333"/>
      <c r="C372" s="333"/>
      <c r="D372" s="333"/>
      <c r="E372" s="333"/>
      <c r="F372" s="333"/>
      <c r="G372" s="334"/>
      <c r="H372" s="331"/>
    </row>
    <row r="373">
      <c r="B373" s="333"/>
      <c r="C373" s="333"/>
      <c r="D373" s="333"/>
      <c r="E373" s="333"/>
      <c r="F373" s="333"/>
      <c r="G373" s="334"/>
      <c r="H373" s="331"/>
    </row>
    <row r="374">
      <c r="B374" s="333"/>
      <c r="C374" s="333"/>
      <c r="D374" s="333"/>
      <c r="E374" s="333"/>
      <c r="F374" s="333"/>
      <c r="G374" s="334"/>
      <c r="H374" s="331"/>
    </row>
    <row r="375">
      <c r="B375" s="333"/>
      <c r="C375" s="333"/>
      <c r="D375" s="333"/>
      <c r="E375" s="333"/>
      <c r="F375" s="333"/>
      <c r="G375" s="334"/>
      <c r="H375" s="331"/>
    </row>
    <row r="376">
      <c r="B376" s="333"/>
      <c r="C376" s="333"/>
      <c r="D376" s="333"/>
      <c r="E376" s="333"/>
      <c r="F376" s="333"/>
      <c r="G376" s="334"/>
      <c r="H376" s="331"/>
    </row>
    <row r="377">
      <c r="B377" s="333"/>
      <c r="C377" s="333"/>
      <c r="D377" s="333"/>
      <c r="E377" s="333"/>
      <c r="F377" s="333"/>
      <c r="G377" s="334"/>
      <c r="H377" s="331"/>
    </row>
    <row r="378">
      <c r="B378" s="333"/>
      <c r="C378" s="333"/>
      <c r="D378" s="333"/>
      <c r="E378" s="333"/>
      <c r="F378" s="333"/>
      <c r="G378" s="334"/>
      <c r="H378" s="331"/>
    </row>
    <row r="379">
      <c r="B379" s="333"/>
      <c r="C379" s="333"/>
      <c r="D379" s="333"/>
      <c r="E379" s="333"/>
      <c r="F379" s="333"/>
      <c r="G379" s="334"/>
      <c r="H379" s="331"/>
    </row>
    <row r="380">
      <c r="B380" s="333"/>
      <c r="C380" s="333"/>
      <c r="D380" s="333"/>
      <c r="E380" s="333"/>
      <c r="F380" s="333"/>
      <c r="G380" s="334"/>
      <c r="H380" s="331"/>
    </row>
    <row r="381">
      <c r="B381" s="333"/>
      <c r="C381" s="333"/>
      <c r="D381" s="333"/>
      <c r="E381" s="333"/>
      <c r="F381" s="333"/>
      <c r="G381" s="334"/>
      <c r="H381" s="331"/>
    </row>
    <row r="382">
      <c r="B382" s="333"/>
      <c r="C382" s="333"/>
      <c r="D382" s="333"/>
      <c r="E382" s="333"/>
      <c r="F382" s="333"/>
      <c r="G382" s="334"/>
      <c r="H382" s="331"/>
    </row>
    <row r="383">
      <c r="B383" s="333"/>
      <c r="C383" s="333"/>
      <c r="D383" s="333"/>
      <c r="E383" s="333"/>
      <c r="F383" s="333"/>
      <c r="G383" s="334"/>
      <c r="H383" s="331"/>
    </row>
    <row r="384">
      <c r="B384" s="333"/>
      <c r="C384" s="333"/>
      <c r="D384" s="333"/>
      <c r="E384" s="333"/>
      <c r="F384" s="333"/>
      <c r="G384" s="334"/>
      <c r="H384" s="331"/>
    </row>
    <row r="385">
      <c r="B385" s="333"/>
      <c r="C385" s="333"/>
      <c r="D385" s="333"/>
      <c r="E385" s="333"/>
      <c r="F385" s="333"/>
      <c r="G385" s="334"/>
      <c r="H385" s="331"/>
    </row>
    <row r="386">
      <c r="B386" s="333"/>
      <c r="C386" s="333"/>
      <c r="D386" s="333"/>
      <c r="E386" s="333"/>
      <c r="F386" s="333"/>
      <c r="G386" s="334"/>
      <c r="H386" s="331"/>
    </row>
    <row r="387">
      <c r="B387" s="333"/>
      <c r="C387" s="333"/>
      <c r="D387" s="333"/>
      <c r="E387" s="333"/>
      <c r="F387" s="333"/>
      <c r="G387" s="334"/>
      <c r="H387" s="331"/>
    </row>
    <row r="388">
      <c r="B388" s="333"/>
      <c r="C388" s="333"/>
      <c r="D388" s="333"/>
      <c r="E388" s="333"/>
      <c r="F388" s="333"/>
      <c r="G388" s="334"/>
      <c r="H388" s="331"/>
    </row>
    <row r="389">
      <c r="B389" s="333"/>
      <c r="C389" s="333"/>
      <c r="D389" s="333"/>
      <c r="E389" s="333"/>
      <c r="F389" s="333"/>
      <c r="G389" s="334"/>
      <c r="H389" s="331"/>
    </row>
    <row r="390">
      <c r="B390" s="333"/>
      <c r="C390" s="333"/>
      <c r="D390" s="333"/>
      <c r="E390" s="333"/>
      <c r="F390" s="333"/>
      <c r="G390" s="334"/>
      <c r="H390" s="331"/>
    </row>
    <row r="391">
      <c r="B391" s="333"/>
      <c r="C391" s="333"/>
      <c r="D391" s="333"/>
      <c r="E391" s="333"/>
      <c r="F391" s="333"/>
      <c r="G391" s="334"/>
      <c r="H391" s="331"/>
    </row>
    <row r="392">
      <c r="B392" s="333"/>
      <c r="C392" s="333"/>
      <c r="D392" s="333"/>
      <c r="E392" s="333"/>
      <c r="F392" s="333"/>
      <c r="G392" s="334"/>
      <c r="H392" s="331"/>
    </row>
    <row r="393">
      <c r="B393" s="333"/>
      <c r="C393" s="333"/>
      <c r="D393" s="333"/>
      <c r="E393" s="333"/>
      <c r="F393" s="333"/>
      <c r="G393" s="334"/>
      <c r="H393" s="331"/>
    </row>
    <row r="394">
      <c r="B394" s="333"/>
      <c r="C394" s="333"/>
      <c r="D394" s="333"/>
      <c r="E394" s="333"/>
      <c r="F394" s="333"/>
      <c r="G394" s="334"/>
      <c r="H394" s="331"/>
    </row>
    <row r="395">
      <c r="B395" s="333"/>
      <c r="C395" s="333"/>
      <c r="D395" s="333"/>
      <c r="E395" s="333"/>
      <c r="F395" s="333"/>
      <c r="G395" s="334"/>
      <c r="H395" s="331"/>
    </row>
    <row r="396">
      <c r="B396" s="333"/>
      <c r="C396" s="333"/>
      <c r="D396" s="333"/>
      <c r="E396" s="333"/>
      <c r="F396" s="333"/>
      <c r="G396" s="334"/>
      <c r="H396" s="331"/>
    </row>
    <row r="397">
      <c r="B397" s="333"/>
      <c r="C397" s="333"/>
      <c r="D397" s="333"/>
      <c r="E397" s="333"/>
      <c r="F397" s="333"/>
      <c r="G397" s="334"/>
      <c r="H397" s="331"/>
    </row>
    <row r="398">
      <c r="B398" s="333"/>
      <c r="C398" s="333"/>
      <c r="D398" s="333"/>
      <c r="E398" s="333"/>
      <c r="F398" s="333"/>
      <c r="G398" s="334"/>
      <c r="H398" s="331"/>
    </row>
    <row r="399">
      <c r="B399" s="333"/>
      <c r="C399" s="333"/>
      <c r="D399" s="333"/>
      <c r="E399" s="333"/>
      <c r="F399" s="333"/>
      <c r="G399" s="334"/>
      <c r="H399" s="331"/>
    </row>
    <row r="400">
      <c r="B400" s="333"/>
      <c r="C400" s="333"/>
      <c r="D400" s="333"/>
      <c r="E400" s="333"/>
      <c r="F400" s="333"/>
      <c r="G400" s="334"/>
      <c r="H400" s="331"/>
    </row>
    <row r="401">
      <c r="B401" s="333"/>
      <c r="C401" s="333"/>
      <c r="D401" s="333"/>
      <c r="E401" s="333"/>
      <c r="F401" s="333"/>
      <c r="G401" s="334"/>
      <c r="H401" s="331"/>
    </row>
    <row r="402">
      <c r="B402" s="333"/>
      <c r="C402" s="333"/>
      <c r="D402" s="333"/>
      <c r="E402" s="333"/>
      <c r="F402" s="333"/>
      <c r="G402" s="334"/>
      <c r="H402" s="331"/>
    </row>
    <row r="403">
      <c r="B403" s="333"/>
      <c r="C403" s="333"/>
      <c r="D403" s="333"/>
      <c r="E403" s="333"/>
      <c r="F403" s="333"/>
      <c r="G403" s="334"/>
      <c r="H403" s="331"/>
    </row>
    <row r="404">
      <c r="B404" s="333"/>
      <c r="C404" s="333"/>
      <c r="D404" s="333"/>
      <c r="E404" s="333"/>
      <c r="F404" s="333"/>
      <c r="G404" s="334"/>
      <c r="H404" s="331"/>
    </row>
    <row r="405">
      <c r="B405" s="333"/>
      <c r="C405" s="333"/>
      <c r="D405" s="333"/>
      <c r="E405" s="333"/>
      <c r="F405" s="333"/>
      <c r="G405" s="334"/>
      <c r="H405" s="331"/>
    </row>
    <row r="406">
      <c r="B406" s="333"/>
      <c r="C406" s="333"/>
      <c r="D406" s="333"/>
      <c r="E406" s="333"/>
      <c r="F406" s="333"/>
      <c r="G406" s="334"/>
      <c r="H406" s="331"/>
    </row>
    <row r="407">
      <c r="B407" s="333"/>
      <c r="C407" s="333"/>
      <c r="D407" s="333"/>
      <c r="E407" s="333"/>
      <c r="F407" s="333"/>
      <c r="G407" s="334"/>
      <c r="H407" s="331"/>
    </row>
    <row r="408">
      <c r="B408" s="333"/>
      <c r="C408" s="333"/>
      <c r="D408" s="333"/>
      <c r="E408" s="333"/>
      <c r="F408" s="333"/>
      <c r="G408" s="334"/>
      <c r="H408" s="331"/>
    </row>
    <row r="409">
      <c r="B409" s="333"/>
      <c r="C409" s="333"/>
      <c r="D409" s="333"/>
      <c r="E409" s="333"/>
      <c r="F409" s="333"/>
      <c r="G409" s="334"/>
      <c r="H409" s="331"/>
    </row>
    <row r="410">
      <c r="B410" s="333"/>
      <c r="C410" s="333"/>
      <c r="D410" s="333"/>
      <c r="E410" s="333"/>
      <c r="F410" s="333"/>
      <c r="G410" s="334"/>
      <c r="H410" s="331"/>
    </row>
    <row r="411">
      <c r="B411" s="333"/>
      <c r="C411" s="333"/>
      <c r="D411" s="333"/>
      <c r="E411" s="333"/>
      <c r="F411" s="333"/>
      <c r="G411" s="334"/>
      <c r="H411" s="331"/>
    </row>
    <row r="412">
      <c r="B412" s="333"/>
      <c r="C412" s="333"/>
      <c r="D412" s="333"/>
      <c r="E412" s="333"/>
      <c r="F412" s="333"/>
      <c r="G412" s="334"/>
      <c r="H412" s="331"/>
    </row>
    <row r="413">
      <c r="B413" s="333"/>
      <c r="C413" s="333"/>
      <c r="D413" s="333"/>
      <c r="E413" s="333"/>
      <c r="F413" s="333"/>
      <c r="G413" s="334"/>
      <c r="H413" s="331"/>
    </row>
    <row r="414">
      <c r="B414" s="333"/>
      <c r="C414" s="333"/>
      <c r="D414" s="333"/>
      <c r="E414" s="333"/>
      <c r="F414" s="333"/>
      <c r="G414" s="334"/>
      <c r="H414" s="331"/>
    </row>
    <row r="415">
      <c r="B415" s="333"/>
      <c r="C415" s="333"/>
      <c r="D415" s="333"/>
      <c r="E415" s="333"/>
      <c r="F415" s="333"/>
      <c r="G415" s="334"/>
      <c r="H415" s="331"/>
    </row>
    <row r="416">
      <c r="B416" s="333"/>
      <c r="C416" s="333"/>
      <c r="D416" s="333"/>
      <c r="E416" s="333"/>
      <c r="F416" s="333"/>
      <c r="G416" s="334"/>
      <c r="H416" s="331"/>
    </row>
    <row r="417">
      <c r="B417" s="333"/>
      <c r="C417" s="333"/>
      <c r="D417" s="333"/>
      <c r="E417" s="333"/>
      <c r="F417" s="333"/>
      <c r="G417" s="334"/>
      <c r="H417" s="331"/>
    </row>
    <row r="418">
      <c r="B418" s="333"/>
      <c r="C418" s="333"/>
      <c r="D418" s="333"/>
      <c r="E418" s="333"/>
      <c r="F418" s="333"/>
      <c r="G418" s="334"/>
      <c r="H418" s="331"/>
    </row>
    <row r="419">
      <c r="B419" s="333"/>
      <c r="C419" s="333"/>
      <c r="D419" s="333"/>
      <c r="E419" s="333"/>
      <c r="F419" s="333"/>
      <c r="G419" s="334"/>
      <c r="H419" s="331"/>
    </row>
    <row r="420">
      <c r="B420" s="333"/>
      <c r="C420" s="333"/>
      <c r="D420" s="333"/>
      <c r="E420" s="333"/>
      <c r="F420" s="333"/>
      <c r="G420" s="334"/>
      <c r="H420" s="331"/>
    </row>
    <row r="421">
      <c r="B421" s="333"/>
      <c r="C421" s="333"/>
      <c r="D421" s="333"/>
      <c r="E421" s="333"/>
      <c r="F421" s="333"/>
      <c r="G421" s="334"/>
      <c r="H421" s="331"/>
    </row>
    <row r="422">
      <c r="B422" s="333"/>
      <c r="C422" s="333"/>
      <c r="D422" s="333"/>
      <c r="E422" s="333"/>
      <c r="F422" s="333"/>
      <c r="G422" s="334"/>
      <c r="H422" s="331"/>
    </row>
    <row r="423">
      <c r="B423" s="333"/>
      <c r="C423" s="333"/>
      <c r="D423" s="333"/>
      <c r="E423" s="333"/>
      <c r="F423" s="333"/>
      <c r="G423" s="334"/>
      <c r="H423" s="331"/>
    </row>
    <row r="424">
      <c r="B424" s="333"/>
      <c r="C424" s="333"/>
      <c r="D424" s="333"/>
      <c r="E424" s="333"/>
      <c r="F424" s="333"/>
      <c r="G424" s="334"/>
      <c r="H424" s="331"/>
    </row>
    <row r="425">
      <c r="B425" s="333"/>
      <c r="C425" s="333"/>
      <c r="D425" s="333"/>
      <c r="E425" s="333"/>
      <c r="F425" s="333"/>
      <c r="G425" s="334"/>
      <c r="H425" s="331"/>
    </row>
    <row r="426">
      <c r="B426" s="333"/>
      <c r="C426" s="333"/>
      <c r="D426" s="333"/>
      <c r="E426" s="333"/>
      <c r="F426" s="333"/>
      <c r="G426" s="334"/>
      <c r="H426" s="331"/>
    </row>
    <row r="427">
      <c r="B427" s="333"/>
      <c r="C427" s="333"/>
      <c r="D427" s="333"/>
      <c r="E427" s="333"/>
      <c r="F427" s="333"/>
      <c r="G427" s="334"/>
      <c r="H427" s="331"/>
    </row>
    <row r="428">
      <c r="B428" s="333"/>
      <c r="C428" s="333"/>
      <c r="D428" s="333"/>
      <c r="E428" s="333"/>
      <c r="F428" s="333"/>
      <c r="G428" s="334"/>
      <c r="H428" s="331"/>
    </row>
    <row r="429">
      <c r="B429" s="333"/>
      <c r="C429" s="333"/>
      <c r="D429" s="333"/>
      <c r="E429" s="333"/>
      <c r="F429" s="333"/>
      <c r="G429" s="334"/>
      <c r="H429" s="331"/>
    </row>
    <row r="430">
      <c r="B430" s="333"/>
      <c r="C430" s="333"/>
      <c r="D430" s="333"/>
      <c r="E430" s="333"/>
      <c r="F430" s="333"/>
      <c r="G430" s="334"/>
      <c r="H430" s="331"/>
    </row>
    <row r="431">
      <c r="B431" s="333"/>
      <c r="C431" s="333"/>
      <c r="D431" s="333"/>
      <c r="E431" s="333"/>
      <c r="F431" s="333"/>
      <c r="G431" s="334"/>
      <c r="H431" s="331"/>
    </row>
    <row r="432">
      <c r="B432" s="333"/>
      <c r="C432" s="333"/>
      <c r="D432" s="333"/>
      <c r="E432" s="333"/>
      <c r="F432" s="333"/>
      <c r="G432" s="334"/>
      <c r="H432" s="331"/>
    </row>
    <row r="433">
      <c r="B433" s="333"/>
      <c r="C433" s="333"/>
      <c r="D433" s="333"/>
      <c r="E433" s="333"/>
      <c r="F433" s="333"/>
      <c r="G433" s="334"/>
      <c r="H433" s="331"/>
    </row>
    <row r="434">
      <c r="B434" s="333"/>
      <c r="C434" s="333"/>
      <c r="D434" s="333"/>
      <c r="E434" s="333"/>
      <c r="F434" s="333"/>
      <c r="G434" s="334"/>
      <c r="H434" s="331"/>
    </row>
    <row r="435">
      <c r="B435" s="333"/>
      <c r="C435" s="333"/>
      <c r="D435" s="333"/>
      <c r="E435" s="333"/>
      <c r="F435" s="333"/>
      <c r="G435" s="334"/>
      <c r="H435" s="331"/>
    </row>
    <row r="436">
      <c r="B436" s="333"/>
      <c r="C436" s="333"/>
      <c r="D436" s="333"/>
      <c r="E436" s="333"/>
      <c r="F436" s="333"/>
      <c r="G436" s="334"/>
      <c r="H436" s="331"/>
    </row>
    <row r="437">
      <c r="B437" s="333"/>
      <c r="C437" s="333"/>
      <c r="D437" s="333"/>
      <c r="E437" s="333"/>
      <c r="F437" s="333"/>
      <c r="G437" s="334"/>
      <c r="H437" s="331"/>
    </row>
    <row r="438">
      <c r="B438" s="333"/>
      <c r="C438" s="333"/>
      <c r="D438" s="333"/>
      <c r="E438" s="333"/>
      <c r="F438" s="333"/>
      <c r="G438" s="334"/>
      <c r="H438" s="331"/>
    </row>
    <row r="439">
      <c r="B439" s="333"/>
      <c r="C439" s="333"/>
      <c r="D439" s="333"/>
      <c r="E439" s="333"/>
      <c r="F439" s="333"/>
      <c r="G439" s="334"/>
      <c r="H439" s="331"/>
    </row>
    <row r="440">
      <c r="B440" s="333"/>
      <c r="C440" s="333"/>
      <c r="D440" s="333"/>
      <c r="E440" s="333"/>
      <c r="F440" s="333"/>
      <c r="G440" s="334"/>
      <c r="H440" s="331"/>
    </row>
    <row r="441">
      <c r="B441" s="333"/>
      <c r="C441" s="333"/>
      <c r="D441" s="333"/>
      <c r="E441" s="333"/>
      <c r="F441" s="333"/>
      <c r="G441" s="334"/>
      <c r="H441" s="331"/>
    </row>
    <row r="442">
      <c r="B442" s="333"/>
      <c r="C442" s="333"/>
      <c r="D442" s="333"/>
      <c r="E442" s="333"/>
      <c r="F442" s="333"/>
      <c r="G442" s="334"/>
      <c r="H442" s="331"/>
    </row>
    <row r="443">
      <c r="B443" s="333"/>
      <c r="C443" s="333"/>
      <c r="D443" s="333"/>
      <c r="E443" s="333"/>
      <c r="F443" s="333"/>
      <c r="G443" s="334"/>
      <c r="H443" s="331"/>
    </row>
    <row r="444">
      <c r="B444" s="333"/>
      <c r="C444" s="333"/>
      <c r="D444" s="333"/>
      <c r="E444" s="333"/>
      <c r="F444" s="333"/>
      <c r="G444" s="334"/>
      <c r="H444" s="331"/>
    </row>
    <row r="445">
      <c r="B445" s="333"/>
      <c r="C445" s="333"/>
      <c r="D445" s="333"/>
      <c r="E445" s="333"/>
      <c r="F445" s="333"/>
      <c r="G445" s="334"/>
      <c r="H445" s="331"/>
    </row>
    <row r="446">
      <c r="B446" s="333"/>
      <c r="C446" s="333"/>
      <c r="D446" s="333"/>
      <c r="E446" s="333"/>
      <c r="F446" s="333"/>
      <c r="G446" s="334"/>
      <c r="H446" s="331"/>
    </row>
    <row r="447">
      <c r="B447" s="333"/>
      <c r="C447" s="333"/>
      <c r="D447" s="333"/>
      <c r="E447" s="333"/>
      <c r="F447" s="333"/>
      <c r="G447" s="334"/>
      <c r="H447" s="331"/>
    </row>
    <row r="448">
      <c r="B448" s="333"/>
      <c r="C448" s="333"/>
      <c r="D448" s="333"/>
      <c r="E448" s="333"/>
      <c r="F448" s="333"/>
      <c r="G448" s="334"/>
      <c r="H448" s="331"/>
    </row>
    <row r="449">
      <c r="B449" s="333"/>
      <c r="C449" s="333"/>
      <c r="D449" s="333"/>
      <c r="E449" s="333"/>
      <c r="F449" s="333"/>
      <c r="G449" s="334"/>
      <c r="H449" s="331"/>
    </row>
    <row r="450">
      <c r="B450" s="333"/>
      <c r="C450" s="333"/>
      <c r="D450" s="333"/>
      <c r="E450" s="333"/>
      <c r="F450" s="333"/>
      <c r="G450" s="334"/>
      <c r="H450" s="331"/>
    </row>
    <row r="451">
      <c r="B451" s="333"/>
      <c r="C451" s="333"/>
      <c r="D451" s="333"/>
      <c r="E451" s="333"/>
      <c r="F451" s="333"/>
      <c r="G451" s="334"/>
      <c r="H451" s="331"/>
    </row>
    <row r="452">
      <c r="B452" s="333"/>
      <c r="C452" s="333"/>
      <c r="D452" s="333"/>
      <c r="E452" s="333"/>
      <c r="F452" s="333"/>
      <c r="G452" s="334"/>
      <c r="H452" s="331"/>
    </row>
    <row r="453">
      <c r="B453" s="333"/>
      <c r="C453" s="333"/>
      <c r="D453" s="333"/>
      <c r="E453" s="333"/>
      <c r="F453" s="333"/>
      <c r="G453" s="334"/>
      <c r="H453" s="331"/>
    </row>
    <row r="454">
      <c r="B454" s="333"/>
      <c r="C454" s="333"/>
      <c r="D454" s="333"/>
      <c r="E454" s="333"/>
      <c r="F454" s="333"/>
      <c r="G454" s="334"/>
      <c r="H454" s="331"/>
    </row>
    <row r="455">
      <c r="B455" s="333"/>
      <c r="C455" s="333"/>
      <c r="D455" s="333"/>
      <c r="E455" s="333"/>
      <c r="F455" s="333"/>
      <c r="G455" s="334"/>
      <c r="H455" s="331"/>
    </row>
    <row r="456">
      <c r="B456" s="333"/>
      <c r="C456" s="333"/>
      <c r="D456" s="333"/>
      <c r="E456" s="333"/>
      <c r="F456" s="333"/>
      <c r="G456" s="334"/>
      <c r="H456" s="331"/>
    </row>
    <row r="457">
      <c r="B457" s="333"/>
      <c r="C457" s="333"/>
      <c r="D457" s="333"/>
      <c r="E457" s="333"/>
      <c r="F457" s="333"/>
      <c r="G457" s="334"/>
      <c r="H457" s="331"/>
    </row>
    <row r="458">
      <c r="B458" s="333"/>
      <c r="C458" s="333"/>
      <c r="D458" s="333"/>
      <c r="E458" s="333"/>
      <c r="F458" s="333"/>
      <c r="G458" s="334"/>
      <c r="H458" s="331"/>
    </row>
    <row r="459">
      <c r="B459" s="333"/>
      <c r="C459" s="333"/>
      <c r="D459" s="333"/>
      <c r="E459" s="333"/>
      <c r="F459" s="333"/>
      <c r="G459" s="334"/>
      <c r="H459" s="331"/>
    </row>
    <row r="460">
      <c r="B460" s="333"/>
      <c r="C460" s="333"/>
      <c r="D460" s="333"/>
      <c r="E460" s="333"/>
      <c r="F460" s="333"/>
      <c r="G460" s="334"/>
      <c r="H460" s="331"/>
    </row>
    <row r="461">
      <c r="B461" s="333"/>
      <c r="C461" s="333"/>
      <c r="D461" s="333"/>
      <c r="E461" s="333"/>
      <c r="F461" s="333"/>
      <c r="G461" s="334"/>
      <c r="H461" s="331"/>
    </row>
    <row r="462">
      <c r="B462" s="333"/>
      <c r="C462" s="333"/>
      <c r="D462" s="333"/>
      <c r="E462" s="333"/>
      <c r="F462" s="333"/>
      <c r="G462" s="334"/>
      <c r="H462" s="331"/>
    </row>
    <row r="463">
      <c r="B463" s="333"/>
      <c r="C463" s="333"/>
      <c r="D463" s="333"/>
      <c r="E463" s="333"/>
      <c r="F463" s="333"/>
      <c r="G463" s="334"/>
      <c r="H463" s="331"/>
    </row>
    <row r="464">
      <c r="B464" s="333"/>
      <c r="C464" s="333"/>
      <c r="D464" s="333"/>
      <c r="E464" s="333"/>
      <c r="F464" s="333"/>
      <c r="G464" s="334"/>
      <c r="H464" s="331"/>
    </row>
    <row r="465">
      <c r="B465" s="333"/>
      <c r="C465" s="333"/>
      <c r="D465" s="333"/>
      <c r="E465" s="333"/>
      <c r="F465" s="333"/>
      <c r="G465" s="334"/>
      <c r="H465" s="331"/>
    </row>
    <row r="466">
      <c r="B466" s="333"/>
      <c r="C466" s="333"/>
      <c r="D466" s="333"/>
      <c r="E466" s="333"/>
      <c r="F466" s="333"/>
      <c r="G466" s="334"/>
      <c r="H466" s="331"/>
    </row>
    <row r="467">
      <c r="B467" s="333"/>
      <c r="C467" s="333"/>
      <c r="D467" s="333"/>
      <c r="E467" s="333"/>
      <c r="F467" s="333"/>
      <c r="G467" s="334"/>
      <c r="H467" s="331"/>
    </row>
    <row r="468">
      <c r="B468" s="333"/>
      <c r="C468" s="333"/>
      <c r="D468" s="333"/>
      <c r="E468" s="333"/>
      <c r="F468" s="333"/>
      <c r="G468" s="334"/>
      <c r="H468" s="331"/>
    </row>
    <row r="469">
      <c r="B469" s="333"/>
      <c r="C469" s="333"/>
      <c r="D469" s="333"/>
      <c r="E469" s="333"/>
      <c r="F469" s="333"/>
      <c r="G469" s="334"/>
      <c r="H469" s="331"/>
    </row>
    <row r="470">
      <c r="B470" s="333"/>
      <c r="C470" s="333"/>
      <c r="D470" s="333"/>
      <c r="E470" s="333"/>
      <c r="F470" s="333"/>
      <c r="G470" s="334"/>
      <c r="H470" s="331"/>
    </row>
    <row r="471">
      <c r="B471" s="333"/>
      <c r="C471" s="333"/>
      <c r="D471" s="333"/>
      <c r="E471" s="333"/>
      <c r="F471" s="333"/>
      <c r="G471" s="334"/>
      <c r="H471" s="331"/>
    </row>
    <row r="472">
      <c r="B472" s="333"/>
      <c r="C472" s="333"/>
      <c r="D472" s="333"/>
      <c r="E472" s="333"/>
      <c r="F472" s="333"/>
      <c r="G472" s="334"/>
      <c r="H472" s="331"/>
    </row>
    <row r="473">
      <c r="B473" s="333"/>
      <c r="C473" s="333"/>
      <c r="D473" s="333"/>
      <c r="E473" s="333"/>
      <c r="F473" s="333"/>
      <c r="G473" s="334"/>
      <c r="H473" s="331"/>
    </row>
    <row r="474">
      <c r="B474" s="333"/>
      <c r="C474" s="333"/>
      <c r="D474" s="333"/>
      <c r="E474" s="333"/>
      <c r="F474" s="333"/>
      <c r="G474" s="334"/>
      <c r="H474" s="331"/>
    </row>
    <row r="475">
      <c r="B475" s="333"/>
      <c r="C475" s="333"/>
      <c r="D475" s="333"/>
      <c r="E475" s="333"/>
      <c r="F475" s="333"/>
      <c r="G475" s="334"/>
      <c r="H475" s="331"/>
    </row>
    <row r="476">
      <c r="B476" s="333"/>
      <c r="C476" s="333"/>
      <c r="D476" s="333"/>
      <c r="E476" s="333"/>
      <c r="F476" s="333"/>
      <c r="G476" s="334"/>
      <c r="H476" s="331"/>
    </row>
    <row r="477">
      <c r="B477" s="333"/>
      <c r="C477" s="333"/>
      <c r="D477" s="333"/>
      <c r="E477" s="333"/>
      <c r="F477" s="333"/>
      <c r="G477" s="334"/>
      <c r="H477" s="331"/>
    </row>
    <row r="478">
      <c r="B478" s="333"/>
      <c r="C478" s="333"/>
      <c r="D478" s="333"/>
      <c r="E478" s="333"/>
      <c r="F478" s="333"/>
      <c r="G478" s="334"/>
      <c r="H478" s="331"/>
    </row>
    <row r="479">
      <c r="B479" s="333"/>
      <c r="C479" s="333"/>
      <c r="D479" s="333"/>
      <c r="E479" s="333"/>
      <c r="F479" s="333"/>
      <c r="G479" s="334"/>
      <c r="H479" s="331"/>
    </row>
    <row r="480">
      <c r="B480" s="333"/>
      <c r="C480" s="333"/>
      <c r="D480" s="333"/>
      <c r="E480" s="333"/>
      <c r="F480" s="333"/>
      <c r="G480" s="334"/>
      <c r="H480" s="331"/>
    </row>
    <row r="481">
      <c r="B481" s="333"/>
      <c r="C481" s="333"/>
      <c r="D481" s="333"/>
      <c r="E481" s="333"/>
      <c r="F481" s="333"/>
      <c r="G481" s="334"/>
      <c r="H481" s="331"/>
    </row>
    <row r="482">
      <c r="B482" s="333"/>
      <c r="C482" s="333"/>
      <c r="D482" s="333"/>
      <c r="E482" s="333"/>
      <c r="F482" s="333"/>
      <c r="G482" s="334"/>
      <c r="H482" s="331"/>
    </row>
    <row r="483">
      <c r="B483" s="333"/>
      <c r="C483" s="333"/>
      <c r="D483" s="333"/>
      <c r="E483" s="333"/>
      <c r="F483" s="333"/>
      <c r="G483" s="334"/>
      <c r="H483" s="331"/>
    </row>
    <row r="484">
      <c r="B484" s="333"/>
      <c r="C484" s="333"/>
      <c r="D484" s="333"/>
      <c r="E484" s="333"/>
      <c r="F484" s="333"/>
      <c r="G484" s="334"/>
      <c r="H484" s="331"/>
    </row>
    <row r="485">
      <c r="B485" s="333"/>
      <c r="C485" s="333"/>
      <c r="D485" s="333"/>
      <c r="E485" s="333"/>
      <c r="F485" s="333"/>
      <c r="G485" s="334"/>
      <c r="H485" s="331"/>
    </row>
    <row r="486">
      <c r="B486" s="333"/>
      <c r="C486" s="333"/>
      <c r="D486" s="333"/>
      <c r="E486" s="333"/>
      <c r="F486" s="333"/>
      <c r="G486" s="334"/>
      <c r="H486" s="331"/>
    </row>
    <row r="487">
      <c r="B487" s="333"/>
      <c r="C487" s="333"/>
      <c r="D487" s="333"/>
      <c r="E487" s="333"/>
      <c r="F487" s="333"/>
      <c r="G487" s="334"/>
      <c r="H487" s="331"/>
    </row>
    <row r="488">
      <c r="B488" s="333"/>
      <c r="C488" s="333"/>
      <c r="D488" s="333"/>
      <c r="E488" s="333"/>
      <c r="F488" s="333"/>
      <c r="G488" s="334"/>
      <c r="H488" s="331"/>
    </row>
    <row r="489">
      <c r="B489" s="333"/>
      <c r="C489" s="333"/>
      <c r="D489" s="333"/>
      <c r="E489" s="333"/>
      <c r="F489" s="333"/>
      <c r="G489" s="334"/>
      <c r="H489" s="331"/>
    </row>
    <row r="490">
      <c r="B490" s="333"/>
      <c r="C490" s="333"/>
      <c r="D490" s="333"/>
      <c r="E490" s="333"/>
      <c r="F490" s="333"/>
      <c r="G490" s="334"/>
      <c r="H490" s="331"/>
    </row>
    <row r="491">
      <c r="B491" s="333"/>
      <c r="C491" s="333"/>
      <c r="D491" s="333"/>
      <c r="E491" s="333"/>
      <c r="F491" s="333"/>
      <c r="G491" s="334"/>
      <c r="H491" s="331"/>
    </row>
    <row r="492">
      <c r="B492" s="333"/>
      <c r="C492" s="333"/>
      <c r="D492" s="333"/>
      <c r="E492" s="333"/>
      <c r="F492" s="333"/>
      <c r="G492" s="334"/>
      <c r="H492" s="331"/>
    </row>
    <row r="493">
      <c r="B493" s="333"/>
      <c r="C493" s="333"/>
      <c r="D493" s="333"/>
      <c r="E493" s="333"/>
      <c r="F493" s="333"/>
      <c r="G493" s="334"/>
      <c r="H493" s="331"/>
    </row>
    <row r="494">
      <c r="B494" s="333"/>
      <c r="C494" s="333"/>
      <c r="D494" s="333"/>
      <c r="E494" s="333"/>
      <c r="F494" s="333"/>
      <c r="G494" s="334"/>
      <c r="H494" s="331"/>
    </row>
    <row r="495">
      <c r="B495" s="333"/>
      <c r="C495" s="333"/>
      <c r="D495" s="333"/>
      <c r="E495" s="333"/>
      <c r="F495" s="333"/>
      <c r="G495" s="334"/>
      <c r="H495" s="331"/>
    </row>
    <row r="496">
      <c r="B496" s="333"/>
      <c r="C496" s="333"/>
      <c r="D496" s="333"/>
      <c r="E496" s="333"/>
      <c r="F496" s="333"/>
      <c r="G496" s="334"/>
      <c r="H496" s="331"/>
    </row>
    <row r="497">
      <c r="B497" s="333"/>
      <c r="C497" s="333"/>
      <c r="D497" s="333"/>
      <c r="E497" s="333"/>
      <c r="F497" s="333"/>
      <c r="G497" s="334"/>
      <c r="H497" s="331"/>
    </row>
    <row r="498">
      <c r="B498" s="333"/>
      <c r="C498" s="333"/>
      <c r="D498" s="333"/>
      <c r="E498" s="333"/>
      <c r="F498" s="333"/>
      <c r="G498" s="334"/>
      <c r="H498" s="331"/>
    </row>
    <row r="499">
      <c r="B499" s="333"/>
      <c r="C499" s="333"/>
      <c r="D499" s="333"/>
      <c r="E499" s="333"/>
      <c r="F499" s="333"/>
      <c r="G499" s="334"/>
      <c r="H499" s="331"/>
    </row>
    <row r="500">
      <c r="B500" s="333"/>
      <c r="C500" s="333"/>
      <c r="D500" s="333"/>
      <c r="E500" s="333"/>
      <c r="F500" s="333"/>
      <c r="G500" s="334"/>
      <c r="H500" s="331"/>
    </row>
    <row r="501">
      <c r="B501" s="333"/>
      <c r="C501" s="333"/>
      <c r="D501" s="333"/>
      <c r="E501" s="333"/>
      <c r="F501" s="333"/>
      <c r="G501" s="334"/>
      <c r="H501" s="331"/>
    </row>
    <row r="502">
      <c r="B502" s="333"/>
      <c r="C502" s="333"/>
      <c r="D502" s="333"/>
      <c r="E502" s="333"/>
      <c r="F502" s="333"/>
      <c r="G502" s="334"/>
      <c r="H502" s="331"/>
    </row>
    <row r="503">
      <c r="B503" s="333"/>
      <c r="C503" s="333"/>
      <c r="D503" s="333"/>
      <c r="E503" s="333"/>
      <c r="F503" s="333"/>
      <c r="G503" s="334"/>
      <c r="H503" s="331"/>
    </row>
    <row r="504">
      <c r="B504" s="333"/>
      <c r="C504" s="333"/>
      <c r="D504" s="333"/>
      <c r="E504" s="333"/>
      <c r="F504" s="333"/>
      <c r="G504" s="334"/>
      <c r="H504" s="331"/>
    </row>
    <row r="505">
      <c r="B505" s="333"/>
      <c r="C505" s="333"/>
      <c r="D505" s="333"/>
      <c r="E505" s="333"/>
      <c r="F505" s="333"/>
      <c r="G505" s="334"/>
      <c r="H505" s="331"/>
    </row>
    <row r="506">
      <c r="B506" s="333"/>
      <c r="C506" s="333"/>
      <c r="D506" s="333"/>
      <c r="E506" s="333"/>
      <c r="F506" s="333"/>
      <c r="G506" s="334"/>
      <c r="H506" s="331"/>
    </row>
    <row r="507">
      <c r="B507" s="333"/>
      <c r="C507" s="333"/>
      <c r="D507" s="333"/>
      <c r="E507" s="333"/>
      <c r="F507" s="333"/>
      <c r="G507" s="334"/>
      <c r="H507" s="331"/>
    </row>
    <row r="508">
      <c r="B508" s="333"/>
      <c r="C508" s="333"/>
      <c r="D508" s="333"/>
      <c r="E508" s="333"/>
      <c r="F508" s="333"/>
      <c r="G508" s="334"/>
      <c r="H508" s="331"/>
    </row>
    <row r="509">
      <c r="B509" s="333"/>
      <c r="C509" s="333"/>
      <c r="D509" s="333"/>
      <c r="E509" s="333"/>
      <c r="F509" s="333"/>
      <c r="G509" s="334"/>
      <c r="H509" s="331"/>
    </row>
    <row r="510">
      <c r="B510" s="333"/>
      <c r="C510" s="333"/>
      <c r="D510" s="333"/>
      <c r="E510" s="333"/>
      <c r="F510" s="333"/>
      <c r="G510" s="334"/>
      <c r="H510" s="331"/>
    </row>
    <row r="511">
      <c r="B511" s="333"/>
      <c r="C511" s="333"/>
      <c r="D511" s="333"/>
      <c r="E511" s="333"/>
      <c r="F511" s="333"/>
      <c r="G511" s="334"/>
      <c r="H511" s="331"/>
    </row>
    <row r="512">
      <c r="B512" s="333"/>
      <c r="C512" s="333"/>
      <c r="D512" s="333"/>
      <c r="E512" s="333"/>
      <c r="F512" s="333"/>
      <c r="G512" s="334"/>
      <c r="H512" s="331"/>
    </row>
    <row r="513">
      <c r="B513" s="333"/>
      <c r="C513" s="333"/>
      <c r="D513" s="333"/>
      <c r="E513" s="333"/>
      <c r="F513" s="333"/>
      <c r="G513" s="334"/>
      <c r="H513" s="331"/>
    </row>
    <row r="514">
      <c r="B514" s="333"/>
      <c r="C514" s="333"/>
      <c r="D514" s="333"/>
      <c r="E514" s="333"/>
      <c r="F514" s="333"/>
      <c r="G514" s="334"/>
      <c r="H514" s="331"/>
    </row>
    <row r="515">
      <c r="B515" s="333"/>
      <c r="C515" s="333"/>
      <c r="D515" s="333"/>
      <c r="E515" s="333"/>
      <c r="F515" s="333"/>
      <c r="G515" s="334"/>
      <c r="H515" s="331"/>
    </row>
    <row r="516">
      <c r="B516" s="333"/>
      <c r="C516" s="333"/>
      <c r="D516" s="333"/>
      <c r="E516" s="333"/>
      <c r="F516" s="333"/>
      <c r="G516" s="334"/>
      <c r="H516" s="331"/>
    </row>
    <row r="517">
      <c r="B517" s="333"/>
      <c r="C517" s="333"/>
      <c r="D517" s="333"/>
      <c r="E517" s="333"/>
      <c r="F517" s="333"/>
      <c r="G517" s="334"/>
      <c r="H517" s="331"/>
    </row>
    <row r="518">
      <c r="B518" s="333"/>
      <c r="C518" s="333"/>
      <c r="D518" s="333"/>
      <c r="E518" s="333"/>
      <c r="F518" s="333"/>
      <c r="G518" s="334"/>
      <c r="H518" s="331"/>
    </row>
    <row r="519">
      <c r="B519" s="333"/>
      <c r="C519" s="333"/>
      <c r="D519" s="333"/>
      <c r="E519" s="333"/>
      <c r="F519" s="333"/>
      <c r="G519" s="334"/>
      <c r="H519" s="331"/>
    </row>
    <row r="520">
      <c r="B520" s="333"/>
      <c r="C520" s="333"/>
      <c r="D520" s="333"/>
      <c r="E520" s="333"/>
      <c r="F520" s="333"/>
      <c r="G520" s="334"/>
      <c r="H520" s="331"/>
    </row>
    <row r="521">
      <c r="B521" s="333"/>
      <c r="C521" s="333"/>
      <c r="D521" s="333"/>
      <c r="E521" s="333"/>
      <c r="F521" s="333"/>
      <c r="G521" s="334"/>
      <c r="H521" s="331"/>
    </row>
    <row r="522">
      <c r="B522" s="333"/>
      <c r="C522" s="333"/>
      <c r="D522" s="333"/>
      <c r="E522" s="333"/>
      <c r="F522" s="333"/>
      <c r="G522" s="334"/>
      <c r="H522" s="331"/>
    </row>
    <row r="523">
      <c r="B523" s="333"/>
      <c r="C523" s="333"/>
      <c r="D523" s="333"/>
      <c r="E523" s="333"/>
      <c r="F523" s="333"/>
      <c r="G523" s="334"/>
      <c r="H523" s="331"/>
    </row>
    <row r="524">
      <c r="B524" s="333"/>
      <c r="C524" s="333"/>
      <c r="D524" s="333"/>
      <c r="E524" s="333"/>
      <c r="F524" s="333"/>
      <c r="G524" s="334"/>
      <c r="H524" s="331"/>
    </row>
    <row r="525">
      <c r="B525" s="333"/>
      <c r="C525" s="333"/>
      <c r="D525" s="333"/>
      <c r="E525" s="333"/>
      <c r="F525" s="333"/>
      <c r="G525" s="334"/>
      <c r="H525" s="331"/>
    </row>
    <row r="526">
      <c r="B526" s="333"/>
      <c r="C526" s="333"/>
      <c r="D526" s="333"/>
      <c r="E526" s="333"/>
      <c r="F526" s="333"/>
      <c r="G526" s="334"/>
      <c r="H526" s="331"/>
    </row>
    <row r="527">
      <c r="B527" s="333"/>
      <c r="C527" s="333"/>
      <c r="D527" s="333"/>
      <c r="E527" s="333"/>
      <c r="F527" s="333"/>
      <c r="G527" s="334"/>
      <c r="H527" s="331"/>
    </row>
    <row r="528">
      <c r="B528" s="333"/>
      <c r="C528" s="333"/>
      <c r="D528" s="333"/>
      <c r="E528" s="333"/>
      <c r="F528" s="333"/>
      <c r="G528" s="334"/>
      <c r="H528" s="331"/>
    </row>
    <row r="529">
      <c r="B529" s="333"/>
      <c r="C529" s="333"/>
      <c r="D529" s="333"/>
      <c r="E529" s="333"/>
      <c r="F529" s="333"/>
      <c r="G529" s="334"/>
      <c r="H529" s="331"/>
    </row>
    <row r="530">
      <c r="B530" s="333"/>
      <c r="C530" s="333"/>
      <c r="D530" s="333"/>
      <c r="E530" s="333"/>
      <c r="F530" s="333"/>
      <c r="G530" s="334"/>
      <c r="H530" s="331"/>
    </row>
    <row r="531">
      <c r="B531" s="333"/>
      <c r="C531" s="333"/>
      <c r="D531" s="333"/>
      <c r="E531" s="333"/>
      <c r="F531" s="333"/>
      <c r="G531" s="334"/>
      <c r="H531" s="331"/>
    </row>
    <row r="532">
      <c r="B532" s="333"/>
      <c r="C532" s="333"/>
      <c r="D532" s="333"/>
      <c r="E532" s="333"/>
      <c r="F532" s="333"/>
      <c r="G532" s="334"/>
      <c r="H532" s="331"/>
    </row>
    <row r="533">
      <c r="B533" s="333"/>
      <c r="C533" s="333"/>
      <c r="D533" s="333"/>
      <c r="E533" s="333"/>
      <c r="F533" s="333"/>
      <c r="G533" s="334"/>
      <c r="H533" s="331"/>
    </row>
    <row r="534">
      <c r="B534" s="333"/>
      <c r="C534" s="333"/>
      <c r="D534" s="333"/>
      <c r="E534" s="333"/>
      <c r="F534" s="333"/>
      <c r="G534" s="334"/>
      <c r="H534" s="331"/>
    </row>
    <row r="535">
      <c r="B535" s="333"/>
      <c r="C535" s="333"/>
      <c r="D535" s="333"/>
      <c r="E535" s="333"/>
      <c r="F535" s="333"/>
      <c r="G535" s="334"/>
      <c r="H535" s="331"/>
    </row>
    <row r="536">
      <c r="B536" s="333"/>
      <c r="C536" s="333"/>
      <c r="D536" s="333"/>
      <c r="E536" s="333"/>
      <c r="F536" s="333"/>
      <c r="G536" s="334"/>
      <c r="H536" s="331"/>
    </row>
    <row r="537">
      <c r="B537" s="333"/>
      <c r="C537" s="333"/>
      <c r="D537" s="333"/>
      <c r="E537" s="333"/>
      <c r="F537" s="333"/>
      <c r="G537" s="334"/>
      <c r="H537" s="331"/>
    </row>
    <row r="538">
      <c r="B538" s="333"/>
      <c r="C538" s="333"/>
      <c r="D538" s="333"/>
      <c r="E538" s="333"/>
      <c r="F538" s="333"/>
      <c r="G538" s="334"/>
      <c r="H538" s="331"/>
    </row>
    <row r="539">
      <c r="B539" s="333"/>
      <c r="C539" s="333"/>
      <c r="D539" s="333"/>
      <c r="E539" s="333"/>
      <c r="F539" s="333"/>
      <c r="G539" s="334"/>
      <c r="H539" s="331"/>
    </row>
    <row r="540">
      <c r="B540" s="333"/>
      <c r="C540" s="333"/>
      <c r="D540" s="333"/>
      <c r="E540" s="333"/>
      <c r="F540" s="333"/>
      <c r="G540" s="334"/>
      <c r="H540" s="331"/>
    </row>
    <row r="541">
      <c r="B541" s="333"/>
      <c r="C541" s="333"/>
      <c r="D541" s="333"/>
      <c r="E541" s="333"/>
      <c r="F541" s="333"/>
      <c r="G541" s="334"/>
      <c r="H541" s="331"/>
    </row>
    <row r="542">
      <c r="B542" s="333"/>
      <c r="C542" s="333"/>
      <c r="D542" s="333"/>
      <c r="E542" s="333"/>
      <c r="F542" s="333"/>
      <c r="G542" s="334"/>
      <c r="H542" s="331"/>
    </row>
    <row r="543">
      <c r="B543" s="333"/>
      <c r="C543" s="333"/>
      <c r="D543" s="333"/>
      <c r="E543" s="333"/>
      <c r="F543" s="333"/>
      <c r="G543" s="334"/>
      <c r="H543" s="331"/>
    </row>
    <row r="544">
      <c r="B544" s="333"/>
      <c r="C544" s="333"/>
      <c r="D544" s="333"/>
      <c r="E544" s="333"/>
      <c r="F544" s="333"/>
      <c r="G544" s="334"/>
      <c r="H544" s="331"/>
    </row>
    <row r="545">
      <c r="B545" s="333"/>
      <c r="C545" s="333"/>
      <c r="D545" s="333"/>
      <c r="E545" s="333"/>
      <c r="F545" s="333"/>
      <c r="G545" s="334"/>
      <c r="H545" s="331"/>
    </row>
    <row r="546">
      <c r="B546" s="333"/>
      <c r="C546" s="333"/>
      <c r="D546" s="333"/>
      <c r="E546" s="333"/>
      <c r="F546" s="333"/>
      <c r="G546" s="334"/>
      <c r="H546" s="331"/>
    </row>
    <row r="547">
      <c r="B547" s="333"/>
      <c r="C547" s="333"/>
      <c r="D547" s="333"/>
      <c r="E547" s="333"/>
      <c r="F547" s="333"/>
      <c r="G547" s="334"/>
      <c r="H547" s="331"/>
    </row>
    <row r="548">
      <c r="B548" s="333"/>
      <c r="C548" s="333"/>
      <c r="D548" s="333"/>
      <c r="E548" s="333"/>
      <c r="F548" s="333"/>
      <c r="G548" s="334"/>
      <c r="H548" s="331"/>
    </row>
    <row r="549">
      <c r="B549" s="333"/>
      <c r="C549" s="333"/>
      <c r="D549" s="333"/>
      <c r="E549" s="333"/>
      <c r="F549" s="333"/>
      <c r="G549" s="334"/>
      <c r="H549" s="331"/>
    </row>
    <row r="550">
      <c r="B550" s="333"/>
      <c r="C550" s="333"/>
      <c r="D550" s="333"/>
      <c r="E550" s="333"/>
      <c r="F550" s="333"/>
      <c r="G550" s="334"/>
      <c r="H550" s="331"/>
    </row>
    <row r="551">
      <c r="B551" s="333"/>
      <c r="C551" s="333"/>
      <c r="D551" s="333"/>
      <c r="E551" s="333"/>
      <c r="F551" s="333"/>
      <c r="G551" s="334"/>
      <c r="H551" s="331"/>
    </row>
    <row r="552">
      <c r="B552" s="333"/>
      <c r="C552" s="333"/>
      <c r="D552" s="333"/>
      <c r="E552" s="333"/>
      <c r="F552" s="333"/>
      <c r="G552" s="334"/>
      <c r="H552" s="331"/>
    </row>
    <row r="553">
      <c r="B553" s="333"/>
      <c r="C553" s="333"/>
      <c r="D553" s="333"/>
      <c r="E553" s="333"/>
      <c r="F553" s="333"/>
      <c r="G553" s="334"/>
      <c r="H553" s="331"/>
    </row>
    <row r="554">
      <c r="B554" s="333"/>
      <c r="C554" s="333"/>
      <c r="D554" s="333"/>
      <c r="E554" s="333"/>
      <c r="F554" s="333"/>
      <c r="G554" s="334"/>
      <c r="H554" s="331"/>
    </row>
    <row r="555">
      <c r="B555" s="333"/>
      <c r="C555" s="333"/>
      <c r="D555" s="333"/>
      <c r="E555" s="333"/>
      <c r="F555" s="333"/>
      <c r="G555" s="334"/>
      <c r="H555" s="331"/>
    </row>
    <row r="556">
      <c r="B556" s="333"/>
      <c r="C556" s="333"/>
      <c r="D556" s="333"/>
      <c r="E556" s="333"/>
      <c r="F556" s="333"/>
      <c r="G556" s="334"/>
      <c r="H556" s="331"/>
    </row>
    <row r="557">
      <c r="B557" s="333"/>
      <c r="C557" s="333"/>
      <c r="D557" s="333"/>
      <c r="E557" s="333"/>
      <c r="F557" s="333"/>
      <c r="G557" s="334"/>
      <c r="H557" s="331"/>
    </row>
    <row r="558">
      <c r="B558" s="333"/>
      <c r="C558" s="333"/>
      <c r="D558" s="333"/>
      <c r="E558" s="333"/>
      <c r="F558" s="333"/>
      <c r="G558" s="334"/>
      <c r="H558" s="331"/>
    </row>
    <row r="559">
      <c r="B559" s="333"/>
      <c r="C559" s="333"/>
      <c r="D559" s="333"/>
      <c r="E559" s="333"/>
      <c r="F559" s="333"/>
      <c r="G559" s="334"/>
      <c r="H559" s="331"/>
    </row>
    <row r="560">
      <c r="B560" s="333"/>
      <c r="C560" s="333"/>
      <c r="D560" s="333"/>
      <c r="E560" s="333"/>
      <c r="F560" s="333"/>
      <c r="G560" s="334"/>
      <c r="H560" s="331"/>
    </row>
    <row r="561">
      <c r="B561" s="333"/>
      <c r="C561" s="333"/>
      <c r="D561" s="333"/>
      <c r="E561" s="333"/>
      <c r="F561" s="333"/>
      <c r="G561" s="334"/>
      <c r="H561" s="331"/>
    </row>
    <row r="562">
      <c r="B562" s="333"/>
      <c r="C562" s="333"/>
      <c r="D562" s="333"/>
      <c r="E562" s="333"/>
      <c r="F562" s="333"/>
      <c r="G562" s="334"/>
      <c r="H562" s="331"/>
    </row>
    <row r="563">
      <c r="B563" s="333"/>
      <c r="C563" s="333"/>
      <c r="D563" s="333"/>
      <c r="E563" s="333"/>
      <c r="F563" s="333"/>
      <c r="G563" s="334"/>
      <c r="H563" s="331"/>
    </row>
    <row r="564">
      <c r="B564" s="333"/>
      <c r="C564" s="333"/>
      <c r="D564" s="333"/>
      <c r="E564" s="333"/>
      <c r="F564" s="333"/>
      <c r="G564" s="334"/>
      <c r="H564" s="331"/>
    </row>
    <row r="565">
      <c r="B565" s="333"/>
      <c r="C565" s="333"/>
      <c r="D565" s="333"/>
      <c r="E565" s="333"/>
      <c r="F565" s="333"/>
      <c r="G565" s="334"/>
      <c r="H565" s="331"/>
    </row>
    <row r="566">
      <c r="B566" s="333"/>
      <c r="C566" s="333"/>
      <c r="D566" s="333"/>
      <c r="E566" s="333"/>
      <c r="F566" s="333"/>
      <c r="G566" s="334"/>
      <c r="H566" s="331"/>
    </row>
    <row r="567">
      <c r="B567" s="333"/>
      <c r="C567" s="333"/>
      <c r="D567" s="333"/>
      <c r="E567" s="333"/>
      <c r="F567" s="333"/>
      <c r="G567" s="334"/>
      <c r="H567" s="331"/>
    </row>
    <row r="568">
      <c r="B568" s="333"/>
      <c r="C568" s="333"/>
      <c r="D568" s="333"/>
      <c r="E568" s="333"/>
      <c r="F568" s="333"/>
      <c r="G568" s="334"/>
      <c r="H568" s="331"/>
    </row>
    <row r="569">
      <c r="B569" s="333"/>
      <c r="C569" s="333"/>
      <c r="D569" s="333"/>
      <c r="E569" s="333"/>
      <c r="F569" s="333"/>
      <c r="G569" s="334"/>
      <c r="H569" s="331"/>
    </row>
    <row r="570">
      <c r="B570" s="333"/>
      <c r="C570" s="333"/>
      <c r="D570" s="333"/>
      <c r="E570" s="333"/>
      <c r="F570" s="333"/>
      <c r="G570" s="334"/>
      <c r="H570" s="331"/>
    </row>
    <row r="571">
      <c r="B571" s="333"/>
      <c r="C571" s="333"/>
      <c r="D571" s="333"/>
      <c r="E571" s="333"/>
      <c r="F571" s="333"/>
      <c r="G571" s="334"/>
      <c r="H571" s="331"/>
    </row>
    <row r="572">
      <c r="B572" s="333"/>
      <c r="C572" s="333"/>
      <c r="D572" s="333"/>
      <c r="E572" s="333"/>
      <c r="F572" s="333"/>
      <c r="G572" s="334"/>
      <c r="H572" s="331"/>
    </row>
    <row r="573">
      <c r="B573" s="333"/>
      <c r="C573" s="333"/>
      <c r="D573" s="333"/>
      <c r="E573" s="333"/>
      <c r="F573" s="333"/>
      <c r="G573" s="334"/>
      <c r="H573" s="331"/>
    </row>
    <row r="574">
      <c r="B574" s="333"/>
      <c r="C574" s="333"/>
      <c r="D574" s="333"/>
      <c r="E574" s="333"/>
      <c r="F574" s="333"/>
      <c r="G574" s="334"/>
      <c r="H574" s="331"/>
    </row>
    <row r="575">
      <c r="B575" s="333"/>
      <c r="C575" s="333"/>
      <c r="D575" s="333"/>
      <c r="E575" s="333"/>
      <c r="F575" s="333"/>
      <c r="G575" s="334"/>
      <c r="H575" s="331"/>
    </row>
    <row r="576">
      <c r="B576" s="333"/>
      <c r="C576" s="333"/>
      <c r="D576" s="333"/>
      <c r="E576" s="333"/>
      <c r="F576" s="333"/>
      <c r="G576" s="334"/>
      <c r="H576" s="331"/>
    </row>
    <row r="577">
      <c r="B577" s="333"/>
      <c r="C577" s="333"/>
      <c r="D577" s="333"/>
      <c r="E577" s="333"/>
      <c r="F577" s="333"/>
      <c r="G577" s="334"/>
      <c r="H577" s="331"/>
    </row>
    <row r="578">
      <c r="B578" s="333"/>
      <c r="C578" s="333"/>
      <c r="D578" s="333"/>
      <c r="E578" s="333"/>
      <c r="F578" s="333"/>
      <c r="G578" s="334"/>
      <c r="H578" s="331"/>
    </row>
    <row r="579">
      <c r="B579" s="333"/>
      <c r="C579" s="333"/>
      <c r="D579" s="333"/>
      <c r="E579" s="333"/>
      <c r="F579" s="333"/>
      <c r="G579" s="334"/>
      <c r="H579" s="331"/>
    </row>
    <row r="580">
      <c r="B580" s="333"/>
      <c r="C580" s="333"/>
      <c r="D580" s="333"/>
      <c r="E580" s="333"/>
      <c r="F580" s="333"/>
      <c r="G580" s="334"/>
      <c r="H580" s="331"/>
    </row>
    <row r="581">
      <c r="B581" s="333"/>
      <c r="C581" s="333"/>
      <c r="D581" s="333"/>
      <c r="E581" s="333"/>
      <c r="F581" s="333"/>
      <c r="G581" s="334"/>
      <c r="H581" s="331"/>
    </row>
    <row r="582">
      <c r="B582" s="333"/>
      <c r="C582" s="333"/>
      <c r="D582" s="333"/>
      <c r="E582" s="333"/>
      <c r="F582" s="333"/>
      <c r="G582" s="334"/>
      <c r="H582" s="331"/>
    </row>
    <row r="583">
      <c r="B583" s="333"/>
      <c r="C583" s="333"/>
      <c r="D583" s="333"/>
      <c r="E583" s="333"/>
      <c r="F583" s="333"/>
      <c r="G583" s="334"/>
      <c r="H583" s="331"/>
    </row>
    <row r="584">
      <c r="B584" s="333"/>
      <c r="C584" s="333"/>
      <c r="D584" s="333"/>
      <c r="E584" s="333"/>
      <c r="F584" s="333"/>
      <c r="G584" s="334"/>
      <c r="H584" s="331"/>
    </row>
    <row r="585">
      <c r="B585" s="333"/>
      <c r="C585" s="333"/>
      <c r="D585" s="333"/>
      <c r="E585" s="333"/>
      <c r="F585" s="333"/>
      <c r="G585" s="334"/>
      <c r="H585" s="331"/>
    </row>
    <row r="586">
      <c r="B586" s="333"/>
      <c r="C586" s="333"/>
      <c r="D586" s="333"/>
      <c r="E586" s="333"/>
      <c r="F586" s="333"/>
      <c r="G586" s="334"/>
      <c r="H586" s="331"/>
    </row>
    <row r="587">
      <c r="B587" s="333"/>
      <c r="C587" s="333"/>
      <c r="D587" s="333"/>
      <c r="E587" s="333"/>
      <c r="F587" s="333"/>
      <c r="G587" s="334"/>
      <c r="H587" s="331"/>
    </row>
    <row r="588">
      <c r="B588" s="333"/>
      <c r="C588" s="333"/>
      <c r="D588" s="333"/>
      <c r="E588" s="333"/>
      <c r="F588" s="333"/>
      <c r="G588" s="334"/>
      <c r="H588" s="331"/>
    </row>
    <row r="589">
      <c r="B589" s="333"/>
      <c r="C589" s="333"/>
      <c r="D589" s="333"/>
      <c r="E589" s="333"/>
      <c r="F589" s="333"/>
      <c r="G589" s="334"/>
      <c r="H589" s="331"/>
    </row>
    <row r="590">
      <c r="B590" s="333"/>
      <c r="C590" s="333"/>
      <c r="D590" s="333"/>
      <c r="E590" s="333"/>
      <c r="F590" s="333"/>
      <c r="G590" s="334"/>
      <c r="H590" s="331"/>
    </row>
    <row r="591">
      <c r="B591" s="333"/>
      <c r="C591" s="333"/>
      <c r="D591" s="333"/>
      <c r="E591" s="333"/>
      <c r="F591" s="333"/>
      <c r="G591" s="334"/>
      <c r="H591" s="331"/>
    </row>
    <row r="592">
      <c r="B592" s="333"/>
      <c r="C592" s="333"/>
      <c r="D592" s="333"/>
      <c r="E592" s="333"/>
      <c r="F592" s="333"/>
      <c r="G592" s="334"/>
      <c r="H592" s="331"/>
    </row>
    <row r="593">
      <c r="B593" s="333"/>
      <c r="C593" s="333"/>
      <c r="D593" s="333"/>
      <c r="E593" s="333"/>
      <c r="F593" s="333"/>
      <c r="G593" s="334"/>
      <c r="H593" s="331"/>
    </row>
    <row r="594">
      <c r="B594" s="333"/>
      <c r="C594" s="333"/>
      <c r="D594" s="333"/>
      <c r="E594" s="333"/>
      <c r="F594" s="333"/>
      <c r="G594" s="334"/>
      <c r="H594" s="331"/>
    </row>
    <row r="595">
      <c r="B595" s="333"/>
      <c r="C595" s="333"/>
      <c r="D595" s="333"/>
      <c r="E595" s="333"/>
      <c r="F595" s="333"/>
      <c r="G595" s="334"/>
      <c r="H595" s="331"/>
    </row>
    <row r="596">
      <c r="B596" s="333"/>
      <c r="C596" s="333"/>
      <c r="D596" s="333"/>
      <c r="E596" s="333"/>
      <c r="F596" s="333"/>
      <c r="G596" s="334"/>
      <c r="H596" s="331"/>
    </row>
    <row r="597">
      <c r="B597" s="333"/>
      <c r="C597" s="333"/>
      <c r="D597" s="333"/>
      <c r="E597" s="333"/>
      <c r="F597" s="333"/>
      <c r="G597" s="334"/>
      <c r="H597" s="331"/>
    </row>
    <row r="598">
      <c r="B598" s="333"/>
      <c r="C598" s="333"/>
      <c r="D598" s="333"/>
      <c r="E598" s="333"/>
      <c r="F598" s="333"/>
      <c r="G598" s="334"/>
      <c r="H598" s="331"/>
    </row>
    <row r="599">
      <c r="B599" s="333"/>
      <c r="C599" s="333"/>
      <c r="D599" s="333"/>
      <c r="E599" s="333"/>
      <c r="F599" s="333"/>
      <c r="G599" s="334"/>
      <c r="H599" s="331"/>
    </row>
    <row r="600">
      <c r="B600" s="333"/>
      <c r="C600" s="333"/>
      <c r="D600" s="333"/>
      <c r="E600" s="333"/>
      <c r="F600" s="333"/>
      <c r="G600" s="334"/>
      <c r="H600" s="331"/>
    </row>
    <row r="601">
      <c r="B601" s="333"/>
      <c r="C601" s="333"/>
      <c r="D601" s="333"/>
      <c r="E601" s="333"/>
      <c r="F601" s="333"/>
      <c r="G601" s="334"/>
      <c r="H601" s="331"/>
    </row>
    <row r="602">
      <c r="B602" s="333"/>
      <c r="C602" s="333"/>
      <c r="D602" s="333"/>
      <c r="E602" s="333"/>
      <c r="F602" s="333"/>
      <c r="G602" s="334"/>
      <c r="H602" s="331"/>
    </row>
    <row r="603">
      <c r="B603" s="333"/>
      <c r="C603" s="333"/>
      <c r="D603" s="333"/>
      <c r="E603" s="333"/>
      <c r="F603" s="333"/>
      <c r="G603" s="334"/>
      <c r="H603" s="331"/>
    </row>
    <row r="604">
      <c r="B604" s="333"/>
      <c r="C604" s="333"/>
      <c r="D604" s="333"/>
      <c r="E604" s="333"/>
      <c r="F604" s="333"/>
      <c r="G604" s="334"/>
      <c r="H604" s="331"/>
    </row>
    <row r="605">
      <c r="B605" s="333"/>
      <c r="C605" s="333"/>
      <c r="D605" s="333"/>
      <c r="E605" s="333"/>
      <c r="F605" s="333"/>
      <c r="G605" s="334"/>
      <c r="H605" s="331"/>
    </row>
    <row r="606">
      <c r="B606" s="333"/>
      <c r="C606" s="333"/>
      <c r="D606" s="333"/>
      <c r="E606" s="333"/>
      <c r="F606" s="333"/>
      <c r="G606" s="334"/>
      <c r="H606" s="331"/>
    </row>
    <row r="607">
      <c r="B607" s="333"/>
      <c r="C607" s="333"/>
      <c r="D607" s="333"/>
      <c r="E607" s="333"/>
      <c r="F607" s="333"/>
      <c r="G607" s="334"/>
      <c r="H607" s="331"/>
    </row>
    <row r="608">
      <c r="B608" s="333"/>
      <c r="C608" s="333"/>
      <c r="D608" s="333"/>
      <c r="E608" s="333"/>
      <c r="F608" s="333"/>
      <c r="G608" s="334"/>
      <c r="H608" s="331"/>
    </row>
    <row r="609">
      <c r="B609" s="333"/>
      <c r="C609" s="333"/>
      <c r="D609" s="333"/>
      <c r="E609" s="333"/>
      <c r="F609" s="333"/>
      <c r="G609" s="334"/>
      <c r="H609" s="331"/>
    </row>
    <row r="610">
      <c r="B610" s="333"/>
      <c r="C610" s="333"/>
      <c r="D610" s="333"/>
      <c r="E610" s="333"/>
      <c r="F610" s="333"/>
      <c r="G610" s="334"/>
      <c r="H610" s="331"/>
    </row>
    <row r="611">
      <c r="B611" s="333"/>
      <c r="C611" s="333"/>
      <c r="D611" s="333"/>
      <c r="E611" s="333"/>
      <c r="F611" s="333"/>
      <c r="G611" s="334"/>
      <c r="H611" s="331"/>
    </row>
    <row r="612">
      <c r="B612" s="333"/>
      <c r="C612" s="333"/>
      <c r="D612" s="333"/>
      <c r="E612" s="333"/>
      <c r="F612" s="333"/>
      <c r="G612" s="334"/>
      <c r="H612" s="331"/>
    </row>
    <row r="613">
      <c r="B613" s="333"/>
      <c r="C613" s="333"/>
      <c r="D613" s="333"/>
      <c r="E613" s="333"/>
      <c r="F613" s="333"/>
      <c r="G613" s="334"/>
      <c r="H613" s="331"/>
    </row>
    <row r="614">
      <c r="B614" s="333"/>
      <c r="C614" s="333"/>
      <c r="D614" s="333"/>
      <c r="E614" s="333"/>
      <c r="F614" s="333"/>
      <c r="G614" s="334"/>
      <c r="H614" s="331"/>
    </row>
    <row r="615">
      <c r="B615" s="333"/>
      <c r="C615" s="333"/>
      <c r="D615" s="333"/>
      <c r="E615" s="333"/>
      <c r="F615" s="333"/>
      <c r="G615" s="334"/>
      <c r="H615" s="331"/>
    </row>
    <row r="616">
      <c r="B616" s="333"/>
      <c r="C616" s="333"/>
      <c r="D616" s="333"/>
      <c r="E616" s="333"/>
      <c r="F616" s="333"/>
      <c r="G616" s="334"/>
      <c r="H616" s="331"/>
    </row>
    <row r="617">
      <c r="B617" s="333"/>
      <c r="C617" s="333"/>
      <c r="D617" s="333"/>
      <c r="E617" s="333"/>
      <c r="F617" s="333"/>
      <c r="G617" s="334"/>
      <c r="H617" s="331"/>
    </row>
    <row r="618">
      <c r="B618" s="333"/>
      <c r="C618" s="333"/>
      <c r="D618" s="333"/>
      <c r="E618" s="333"/>
      <c r="F618" s="333"/>
      <c r="G618" s="334"/>
      <c r="H618" s="331"/>
    </row>
    <row r="619">
      <c r="B619" s="333"/>
      <c r="C619" s="333"/>
      <c r="D619" s="333"/>
      <c r="E619" s="333"/>
      <c r="F619" s="333"/>
      <c r="G619" s="334"/>
      <c r="H619" s="331"/>
    </row>
    <row r="620">
      <c r="B620" s="333"/>
      <c r="C620" s="333"/>
      <c r="D620" s="333"/>
      <c r="E620" s="333"/>
      <c r="F620" s="333"/>
      <c r="G620" s="334"/>
      <c r="H620" s="331"/>
    </row>
    <row r="621">
      <c r="B621" s="333"/>
      <c r="C621" s="333"/>
      <c r="D621" s="333"/>
      <c r="E621" s="333"/>
      <c r="F621" s="333"/>
      <c r="G621" s="334"/>
      <c r="H621" s="331"/>
    </row>
    <row r="622">
      <c r="B622" s="333"/>
      <c r="C622" s="333"/>
      <c r="D622" s="333"/>
      <c r="E622" s="333"/>
      <c r="F622" s="333"/>
      <c r="G622" s="334"/>
      <c r="H622" s="331"/>
    </row>
    <row r="623">
      <c r="B623" s="333"/>
      <c r="C623" s="333"/>
      <c r="D623" s="333"/>
      <c r="E623" s="333"/>
      <c r="F623" s="333"/>
      <c r="G623" s="334"/>
      <c r="H623" s="331"/>
    </row>
    <row r="624">
      <c r="B624" s="333"/>
      <c r="C624" s="333"/>
      <c r="D624" s="333"/>
      <c r="E624" s="333"/>
      <c r="F624" s="333"/>
      <c r="G624" s="334"/>
      <c r="H624" s="331"/>
    </row>
    <row r="625">
      <c r="B625" s="333"/>
      <c r="C625" s="333"/>
      <c r="D625" s="333"/>
      <c r="E625" s="333"/>
      <c r="F625" s="333"/>
      <c r="G625" s="334"/>
      <c r="H625" s="331"/>
    </row>
    <row r="626">
      <c r="B626" s="333"/>
      <c r="C626" s="333"/>
      <c r="D626" s="333"/>
      <c r="E626" s="333"/>
      <c r="F626" s="333"/>
      <c r="G626" s="334"/>
      <c r="H626" s="331"/>
    </row>
    <row r="627">
      <c r="B627" s="333"/>
      <c r="C627" s="333"/>
      <c r="D627" s="333"/>
      <c r="E627" s="333"/>
      <c r="F627" s="333"/>
      <c r="G627" s="334"/>
      <c r="H627" s="331"/>
    </row>
    <row r="628">
      <c r="B628" s="333"/>
      <c r="C628" s="333"/>
      <c r="D628" s="333"/>
      <c r="E628" s="333"/>
      <c r="F628" s="333"/>
      <c r="G628" s="334"/>
      <c r="H628" s="331"/>
    </row>
    <row r="629">
      <c r="B629" s="333"/>
      <c r="C629" s="333"/>
      <c r="D629" s="333"/>
      <c r="E629" s="333"/>
      <c r="F629" s="333"/>
      <c r="G629" s="334"/>
      <c r="H629" s="331"/>
    </row>
    <row r="630">
      <c r="B630" s="333"/>
      <c r="C630" s="333"/>
      <c r="D630" s="333"/>
      <c r="E630" s="333"/>
      <c r="F630" s="333"/>
      <c r="G630" s="334"/>
      <c r="H630" s="331"/>
    </row>
    <row r="631">
      <c r="B631" s="333"/>
      <c r="C631" s="333"/>
      <c r="D631" s="333"/>
      <c r="E631" s="333"/>
      <c r="F631" s="333"/>
      <c r="G631" s="334"/>
      <c r="H631" s="331"/>
    </row>
    <row r="632">
      <c r="B632" s="333"/>
      <c r="C632" s="333"/>
      <c r="D632" s="333"/>
      <c r="E632" s="333"/>
      <c r="F632" s="333"/>
      <c r="G632" s="334"/>
      <c r="H632" s="331"/>
    </row>
    <row r="633">
      <c r="B633" s="333"/>
      <c r="C633" s="333"/>
      <c r="D633" s="333"/>
      <c r="E633" s="333"/>
      <c r="F633" s="333"/>
      <c r="G633" s="334"/>
      <c r="H633" s="331"/>
    </row>
    <row r="634">
      <c r="B634" s="333"/>
      <c r="C634" s="333"/>
      <c r="D634" s="333"/>
      <c r="E634" s="333"/>
      <c r="F634" s="333"/>
      <c r="G634" s="334"/>
      <c r="H634" s="331"/>
    </row>
    <row r="635">
      <c r="B635" s="333"/>
      <c r="C635" s="333"/>
      <c r="D635" s="333"/>
      <c r="E635" s="333"/>
      <c r="F635" s="333"/>
      <c r="G635" s="334"/>
      <c r="H635" s="331"/>
    </row>
    <row r="636">
      <c r="B636" s="333"/>
      <c r="C636" s="333"/>
      <c r="D636" s="333"/>
      <c r="E636" s="333"/>
      <c r="F636" s="333"/>
      <c r="G636" s="334"/>
      <c r="H636" s="331"/>
    </row>
    <row r="637">
      <c r="B637" s="333"/>
      <c r="C637" s="333"/>
      <c r="D637" s="333"/>
      <c r="E637" s="333"/>
      <c r="F637" s="333"/>
      <c r="G637" s="334"/>
      <c r="H637" s="331"/>
    </row>
    <row r="638">
      <c r="B638" s="333"/>
      <c r="C638" s="333"/>
      <c r="D638" s="333"/>
      <c r="E638" s="333"/>
      <c r="F638" s="333"/>
      <c r="G638" s="334"/>
      <c r="H638" s="331"/>
    </row>
    <row r="639">
      <c r="B639" s="333"/>
      <c r="C639" s="333"/>
      <c r="D639" s="333"/>
      <c r="E639" s="333"/>
      <c r="F639" s="333"/>
      <c r="G639" s="334"/>
      <c r="H639" s="331"/>
    </row>
    <row r="640">
      <c r="B640" s="333"/>
      <c r="C640" s="333"/>
      <c r="D640" s="333"/>
      <c r="E640" s="333"/>
      <c r="F640" s="333"/>
      <c r="G640" s="334"/>
      <c r="H640" s="331"/>
    </row>
    <row r="641">
      <c r="B641" s="333"/>
      <c r="C641" s="333"/>
      <c r="D641" s="333"/>
      <c r="E641" s="333"/>
      <c r="F641" s="333"/>
      <c r="G641" s="334"/>
      <c r="H641" s="331"/>
    </row>
    <row r="642">
      <c r="B642" s="333"/>
      <c r="C642" s="333"/>
      <c r="D642" s="333"/>
      <c r="E642" s="333"/>
      <c r="F642" s="333"/>
      <c r="G642" s="334"/>
      <c r="H642" s="331"/>
    </row>
    <row r="643">
      <c r="B643" s="333"/>
      <c r="C643" s="333"/>
      <c r="D643" s="333"/>
      <c r="E643" s="333"/>
      <c r="F643" s="333"/>
      <c r="G643" s="334"/>
      <c r="H643" s="331"/>
    </row>
    <row r="644">
      <c r="B644" s="333"/>
      <c r="C644" s="333"/>
      <c r="D644" s="333"/>
      <c r="E644" s="333"/>
      <c r="F644" s="333"/>
      <c r="G644" s="334"/>
      <c r="H644" s="331"/>
    </row>
    <row r="645">
      <c r="B645" s="333"/>
      <c r="C645" s="333"/>
      <c r="D645" s="333"/>
      <c r="E645" s="333"/>
      <c r="F645" s="333"/>
      <c r="G645" s="334"/>
      <c r="H645" s="331"/>
    </row>
    <row r="646">
      <c r="B646" s="333"/>
      <c r="C646" s="333"/>
      <c r="D646" s="333"/>
      <c r="E646" s="333"/>
      <c r="F646" s="333"/>
      <c r="G646" s="334"/>
      <c r="H646" s="331"/>
    </row>
    <row r="647">
      <c r="B647" s="333"/>
      <c r="C647" s="333"/>
      <c r="D647" s="333"/>
      <c r="E647" s="333"/>
      <c r="F647" s="333"/>
      <c r="G647" s="334"/>
      <c r="H647" s="331"/>
    </row>
    <row r="648">
      <c r="B648" s="333"/>
      <c r="C648" s="333"/>
      <c r="D648" s="333"/>
      <c r="E648" s="333"/>
      <c r="F648" s="333"/>
      <c r="G648" s="334"/>
      <c r="H648" s="331"/>
    </row>
    <row r="649">
      <c r="B649" s="333"/>
      <c r="C649" s="333"/>
      <c r="D649" s="333"/>
      <c r="E649" s="333"/>
      <c r="F649" s="333"/>
      <c r="G649" s="334"/>
      <c r="H649" s="331"/>
    </row>
    <row r="650">
      <c r="B650" s="333"/>
      <c r="C650" s="333"/>
      <c r="D650" s="333"/>
      <c r="E650" s="333"/>
      <c r="F650" s="333"/>
      <c r="G650" s="334"/>
      <c r="H650" s="331"/>
    </row>
    <row r="651">
      <c r="B651" s="333"/>
      <c r="C651" s="333"/>
      <c r="D651" s="333"/>
      <c r="E651" s="333"/>
      <c r="F651" s="333"/>
      <c r="G651" s="334"/>
      <c r="H651" s="331"/>
    </row>
    <row r="652">
      <c r="B652" s="333"/>
      <c r="C652" s="333"/>
      <c r="D652" s="333"/>
      <c r="E652" s="333"/>
      <c r="F652" s="333"/>
      <c r="G652" s="334"/>
      <c r="H652" s="331"/>
    </row>
    <row r="653">
      <c r="B653" s="333"/>
      <c r="C653" s="333"/>
      <c r="D653" s="333"/>
      <c r="E653" s="333"/>
      <c r="F653" s="333"/>
      <c r="G653" s="334"/>
      <c r="H653" s="331"/>
    </row>
    <row r="654">
      <c r="B654" s="333"/>
      <c r="C654" s="333"/>
      <c r="D654" s="333"/>
      <c r="E654" s="333"/>
      <c r="F654" s="333"/>
      <c r="G654" s="334"/>
      <c r="H654" s="331"/>
    </row>
    <row r="655">
      <c r="B655" s="333"/>
      <c r="C655" s="333"/>
      <c r="D655" s="333"/>
      <c r="E655" s="333"/>
      <c r="F655" s="333"/>
      <c r="G655" s="334"/>
      <c r="H655" s="331"/>
    </row>
    <row r="656">
      <c r="B656" s="333"/>
      <c r="C656" s="333"/>
      <c r="D656" s="333"/>
      <c r="E656" s="333"/>
      <c r="F656" s="333"/>
      <c r="G656" s="334"/>
      <c r="H656" s="331"/>
    </row>
    <row r="657">
      <c r="B657" s="333"/>
      <c r="C657" s="333"/>
      <c r="D657" s="333"/>
      <c r="E657" s="333"/>
      <c r="F657" s="333"/>
      <c r="G657" s="334"/>
      <c r="H657" s="331"/>
    </row>
    <row r="658">
      <c r="B658" s="333"/>
      <c r="C658" s="333"/>
      <c r="D658" s="333"/>
      <c r="E658" s="333"/>
      <c r="F658" s="333"/>
      <c r="G658" s="334"/>
      <c r="H658" s="331"/>
    </row>
    <row r="659">
      <c r="B659" s="333"/>
      <c r="C659" s="333"/>
      <c r="D659" s="333"/>
      <c r="E659" s="333"/>
      <c r="F659" s="333"/>
      <c r="G659" s="334"/>
      <c r="H659" s="331"/>
    </row>
    <row r="660">
      <c r="B660" s="333"/>
      <c r="C660" s="333"/>
      <c r="D660" s="333"/>
      <c r="E660" s="333"/>
      <c r="F660" s="333"/>
      <c r="G660" s="334"/>
      <c r="H660" s="331"/>
    </row>
    <row r="661">
      <c r="B661" s="333"/>
      <c r="C661" s="333"/>
      <c r="D661" s="333"/>
      <c r="E661" s="333"/>
      <c r="F661" s="333"/>
      <c r="G661" s="334"/>
      <c r="H661" s="331"/>
    </row>
    <row r="662">
      <c r="B662" s="333"/>
      <c r="C662" s="333"/>
      <c r="D662" s="333"/>
      <c r="E662" s="333"/>
      <c r="F662" s="333"/>
      <c r="G662" s="334"/>
      <c r="H662" s="331"/>
    </row>
    <row r="663">
      <c r="B663" s="333"/>
      <c r="C663" s="333"/>
      <c r="D663" s="333"/>
      <c r="E663" s="333"/>
      <c r="F663" s="333"/>
      <c r="G663" s="334"/>
      <c r="H663" s="331"/>
    </row>
    <row r="664">
      <c r="B664" s="333"/>
      <c r="C664" s="333"/>
      <c r="D664" s="333"/>
      <c r="E664" s="333"/>
      <c r="F664" s="333"/>
      <c r="G664" s="334"/>
      <c r="H664" s="331"/>
    </row>
    <row r="665">
      <c r="B665" s="333"/>
      <c r="C665" s="333"/>
      <c r="D665" s="333"/>
      <c r="E665" s="333"/>
      <c r="F665" s="333"/>
      <c r="G665" s="334"/>
      <c r="H665" s="331"/>
    </row>
    <row r="666">
      <c r="B666" s="333"/>
      <c r="C666" s="333"/>
      <c r="D666" s="333"/>
      <c r="E666" s="333"/>
      <c r="F666" s="333"/>
      <c r="G666" s="334"/>
      <c r="H666" s="331"/>
    </row>
    <row r="667">
      <c r="B667" s="333"/>
      <c r="C667" s="333"/>
      <c r="D667" s="333"/>
      <c r="E667" s="333"/>
      <c r="F667" s="333"/>
      <c r="G667" s="334"/>
      <c r="H667" s="331"/>
    </row>
    <row r="668">
      <c r="B668" s="333"/>
      <c r="C668" s="333"/>
      <c r="D668" s="333"/>
      <c r="E668" s="333"/>
      <c r="F668" s="333"/>
      <c r="G668" s="334"/>
      <c r="H668" s="331"/>
    </row>
    <row r="669">
      <c r="B669" s="333"/>
      <c r="C669" s="333"/>
      <c r="D669" s="333"/>
      <c r="E669" s="333"/>
      <c r="F669" s="333"/>
      <c r="G669" s="334"/>
      <c r="H669" s="331"/>
    </row>
    <row r="670">
      <c r="B670" s="333"/>
      <c r="C670" s="333"/>
      <c r="D670" s="333"/>
      <c r="E670" s="333"/>
      <c r="F670" s="333"/>
      <c r="G670" s="334"/>
      <c r="H670" s="331"/>
    </row>
    <row r="671">
      <c r="B671" s="333"/>
      <c r="C671" s="333"/>
      <c r="D671" s="333"/>
      <c r="E671" s="333"/>
      <c r="F671" s="333"/>
      <c r="G671" s="334"/>
      <c r="H671" s="331"/>
    </row>
    <row r="672">
      <c r="B672" s="333"/>
      <c r="C672" s="333"/>
      <c r="D672" s="333"/>
      <c r="E672" s="333"/>
      <c r="F672" s="333"/>
      <c r="G672" s="334"/>
      <c r="H672" s="331"/>
    </row>
    <row r="673">
      <c r="B673" s="333"/>
      <c r="C673" s="333"/>
      <c r="D673" s="333"/>
      <c r="E673" s="333"/>
      <c r="F673" s="333"/>
      <c r="G673" s="334"/>
      <c r="H673" s="331"/>
    </row>
    <row r="674">
      <c r="B674" s="333"/>
      <c r="C674" s="333"/>
      <c r="D674" s="333"/>
      <c r="E674" s="333"/>
      <c r="F674" s="333"/>
      <c r="G674" s="334"/>
      <c r="H674" s="331"/>
    </row>
    <row r="675">
      <c r="B675" s="333"/>
      <c r="C675" s="333"/>
      <c r="D675" s="333"/>
      <c r="E675" s="333"/>
      <c r="F675" s="333"/>
      <c r="G675" s="334"/>
      <c r="H675" s="331"/>
    </row>
    <row r="676">
      <c r="B676" s="333"/>
      <c r="C676" s="333"/>
      <c r="D676" s="333"/>
      <c r="E676" s="333"/>
      <c r="F676" s="333"/>
      <c r="G676" s="334"/>
      <c r="H676" s="331"/>
    </row>
    <row r="677">
      <c r="B677" s="333"/>
      <c r="C677" s="333"/>
      <c r="D677" s="333"/>
      <c r="E677" s="333"/>
      <c r="F677" s="333"/>
      <c r="G677" s="334"/>
      <c r="H677" s="331"/>
    </row>
    <row r="678">
      <c r="B678" s="333"/>
      <c r="C678" s="333"/>
      <c r="D678" s="333"/>
      <c r="E678" s="333"/>
      <c r="F678" s="333"/>
      <c r="G678" s="334"/>
      <c r="H678" s="331"/>
    </row>
    <row r="679">
      <c r="B679" s="333"/>
      <c r="C679" s="333"/>
      <c r="D679" s="333"/>
      <c r="E679" s="333"/>
      <c r="F679" s="333"/>
      <c r="G679" s="334"/>
      <c r="H679" s="331"/>
    </row>
    <row r="680">
      <c r="B680" s="333"/>
      <c r="C680" s="333"/>
      <c r="D680" s="333"/>
      <c r="E680" s="333"/>
      <c r="F680" s="333"/>
      <c r="G680" s="334"/>
      <c r="H680" s="331"/>
    </row>
    <row r="681">
      <c r="B681" s="333"/>
      <c r="C681" s="333"/>
      <c r="D681" s="333"/>
      <c r="E681" s="333"/>
      <c r="F681" s="333"/>
      <c r="G681" s="334"/>
      <c r="H681" s="331"/>
    </row>
    <row r="682">
      <c r="B682" s="333"/>
      <c r="C682" s="333"/>
      <c r="D682" s="333"/>
      <c r="E682" s="333"/>
      <c r="F682" s="333"/>
      <c r="G682" s="334"/>
      <c r="H682" s="331"/>
    </row>
    <row r="683">
      <c r="B683" s="333"/>
      <c r="C683" s="333"/>
      <c r="D683" s="333"/>
      <c r="E683" s="333"/>
      <c r="F683" s="333"/>
      <c r="G683" s="334"/>
      <c r="H683" s="331"/>
    </row>
    <row r="684">
      <c r="B684" s="333"/>
      <c r="C684" s="333"/>
      <c r="D684" s="333"/>
      <c r="E684" s="333"/>
      <c r="F684" s="333"/>
      <c r="G684" s="334"/>
      <c r="H684" s="331"/>
    </row>
    <row r="685">
      <c r="B685" s="333"/>
      <c r="C685" s="333"/>
      <c r="D685" s="333"/>
      <c r="E685" s="333"/>
      <c r="F685" s="333"/>
      <c r="G685" s="334"/>
      <c r="H685" s="331"/>
    </row>
    <row r="686">
      <c r="B686" s="333"/>
      <c r="C686" s="333"/>
      <c r="D686" s="333"/>
      <c r="E686" s="333"/>
      <c r="F686" s="333"/>
      <c r="G686" s="334"/>
      <c r="H686" s="331"/>
    </row>
    <row r="687">
      <c r="B687" s="333"/>
      <c r="C687" s="333"/>
      <c r="D687" s="333"/>
      <c r="E687" s="333"/>
      <c r="F687" s="333"/>
      <c r="G687" s="334"/>
      <c r="H687" s="331"/>
    </row>
    <row r="688">
      <c r="B688" s="333"/>
      <c r="C688" s="333"/>
      <c r="D688" s="333"/>
      <c r="E688" s="333"/>
      <c r="F688" s="333"/>
      <c r="G688" s="334"/>
      <c r="H688" s="331"/>
    </row>
    <row r="689">
      <c r="B689" s="333"/>
      <c r="C689" s="333"/>
      <c r="D689" s="333"/>
      <c r="E689" s="333"/>
      <c r="F689" s="333"/>
      <c r="G689" s="334"/>
      <c r="H689" s="331"/>
    </row>
    <row r="690">
      <c r="B690" s="333"/>
      <c r="C690" s="333"/>
      <c r="D690" s="333"/>
      <c r="E690" s="333"/>
      <c r="F690" s="333"/>
      <c r="G690" s="334"/>
      <c r="H690" s="331"/>
    </row>
    <row r="691">
      <c r="B691" s="333"/>
      <c r="C691" s="333"/>
      <c r="D691" s="333"/>
      <c r="E691" s="333"/>
      <c r="F691" s="333"/>
      <c r="G691" s="334"/>
      <c r="H691" s="331"/>
    </row>
    <row r="692">
      <c r="B692" s="333"/>
      <c r="C692" s="333"/>
      <c r="D692" s="333"/>
      <c r="E692" s="333"/>
      <c r="F692" s="333"/>
      <c r="G692" s="334"/>
      <c r="H692" s="331"/>
    </row>
    <row r="693">
      <c r="B693" s="333"/>
      <c r="C693" s="333"/>
      <c r="D693" s="333"/>
      <c r="E693" s="333"/>
      <c r="F693" s="333"/>
      <c r="G693" s="334"/>
      <c r="H693" s="331"/>
    </row>
    <row r="694">
      <c r="B694" s="333"/>
      <c r="C694" s="333"/>
      <c r="D694" s="333"/>
      <c r="E694" s="333"/>
      <c r="F694" s="333"/>
      <c r="G694" s="334"/>
      <c r="H694" s="331"/>
    </row>
    <row r="695">
      <c r="B695" s="333"/>
      <c r="C695" s="333"/>
      <c r="D695" s="333"/>
      <c r="E695" s="333"/>
      <c r="F695" s="333"/>
      <c r="G695" s="334"/>
      <c r="H695" s="331"/>
    </row>
    <row r="696">
      <c r="B696" s="333"/>
      <c r="C696" s="333"/>
      <c r="D696" s="333"/>
      <c r="E696" s="333"/>
      <c r="F696" s="333"/>
      <c r="G696" s="334"/>
      <c r="H696" s="331"/>
    </row>
    <row r="697">
      <c r="B697" s="333"/>
      <c r="C697" s="333"/>
      <c r="D697" s="333"/>
      <c r="E697" s="333"/>
      <c r="F697" s="333"/>
      <c r="G697" s="334"/>
      <c r="H697" s="331"/>
    </row>
    <row r="698">
      <c r="B698" s="333"/>
      <c r="C698" s="333"/>
      <c r="D698" s="333"/>
      <c r="E698" s="333"/>
      <c r="F698" s="333"/>
      <c r="G698" s="334"/>
      <c r="H698" s="331"/>
    </row>
    <row r="699">
      <c r="B699" s="333"/>
      <c r="C699" s="333"/>
      <c r="D699" s="333"/>
      <c r="E699" s="333"/>
      <c r="F699" s="333"/>
      <c r="G699" s="334"/>
      <c r="H699" s="331"/>
    </row>
    <row r="700">
      <c r="B700" s="333"/>
      <c r="C700" s="333"/>
      <c r="D700" s="333"/>
      <c r="E700" s="333"/>
      <c r="F700" s="333"/>
      <c r="G700" s="334"/>
      <c r="H700" s="331"/>
    </row>
    <row r="701">
      <c r="B701" s="333"/>
      <c r="C701" s="333"/>
      <c r="D701" s="333"/>
      <c r="E701" s="333"/>
      <c r="F701" s="333"/>
      <c r="G701" s="334"/>
      <c r="H701" s="331"/>
    </row>
    <row r="702">
      <c r="B702" s="333"/>
      <c r="C702" s="333"/>
      <c r="D702" s="333"/>
      <c r="E702" s="333"/>
      <c r="F702" s="333"/>
      <c r="G702" s="334"/>
      <c r="H702" s="331"/>
    </row>
    <row r="703">
      <c r="B703" s="333"/>
      <c r="C703" s="333"/>
      <c r="D703" s="333"/>
      <c r="E703" s="333"/>
      <c r="F703" s="333"/>
      <c r="G703" s="334"/>
      <c r="H703" s="331"/>
    </row>
    <row r="704">
      <c r="B704" s="333"/>
      <c r="C704" s="333"/>
      <c r="D704" s="333"/>
      <c r="E704" s="333"/>
      <c r="F704" s="333"/>
      <c r="G704" s="334"/>
      <c r="H704" s="331"/>
    </row>
    <row r="705">
      <c r="B705" s="333"/>
      <c r="C705" s="333"/>
      <c r="D705" s="333"/>
      <c r="E705" s="333"/>
      <c r="F705" s="333"/>
      <c r="G705" s="334"/>
      <c r="H705" s="331"/>
    </row>
    <row r="706">
      <c r="B706" s="333"/>
      <c r="C706" s="333"/>
      <c r="D706" s="333"/>
      <c r="E706" s="333"/>
      <c r="F706" s="333"/>
      <c r="G706" s="334"/>
      <c r="H706" s="331"/>
    </row>
    <row r="707">
      <c r="B707" s="333"/>
      <c r="C707" s="333"/>
      <c r="D707" s="333"/>
      <c r="E707" s="333"/>
      <c r="F707" s="333"/>
      <c r="G707" s="334"/>
      <c r="H707" s="331"/>
    </row>
    <row r="708">
      <c r="B708" s="333"/>
      <c r="C708" s="333"/>
      <c r="D708" s="333"/>
      <c r="E708" s="333"/>
      <c r="F708" s="333"/>
      <c r="G708" s="334"/>
      <c r="H708" s="331"/>
    </row>
    <row r="709">
      <c r="B709" s="333"/>
      <c r="C709" s="333"/>
      <c r="D709" s="333"/>
      <c r="E709" s="333"/>
      <c r="F709" s="333"/>
      <c r="G709" s="334"/>
      <c r="H709" s="331"/>
    </row>
    <row r="710">
      <c r="B710" s="333"/>
      <c r="C710" s="333"/>
      <c r="D710" s="333"/>
      <c r="E710" s="333"/>
      <c r="F710" s="333"/>
      <c r="G710" s="334"/>
      <c r="H710" s="331"/>
    </row>
    <row r="711">
      <c r="B711" s="333"/>
      <c r="C711" s="333"/>
      <c r="D711" s="333"/>
      <c r="E711" s="333"/>
      <c r="F711" s="333"/>
      <c r="G711" s="334"/>
      <c r="H711" s="331"/>
    </row>
    <row r="712">
      <c r="B712" s="333"/>
      <c r="C712" s="333"/>
      <c r="D712" s="333"/>
      <c r="E712" s="333"/>
      <c r="F712" s="333"/>
      <c r="G712" s="334"/>
      <c r="H712" s="331"/>
    </row>
    <row r="713">
      <c r="B713" s="333"/>
      <c r="C713" s="333"/>
      <c r="D713" s="333"/>
      <c r="E713" s="333"/>
      <c r="F713" s="333"/>
      <c r="G713" s="334"/>
      <c r="H713" s="331"/>
    </row>
    <row r="714">
      <c r="B714" s="333"/>
      <c r="C714" s="333"/>
      <c r="D714" s="333"/>
      <c r="E714" s="333"/>
      <c r="F714" s="333"/>
      <c r="G714" s="334"/>
      <c r="H714" s="331"/>
    </row>
    <row r="715">
      <c r="B715" s="333"/>
      <c r="C715" s="333"/>
      <c r="D715" s="333"/>
      <c r="E715" s="333"/>
      <c r="F715" s="333"/>
      <c r="G715" s="334"/>
      <c r="H715" s="331"/>
    </row>
    <row r="716">
      <c r="B716" s="333"/>
      <c r="C716" s="333"/>
      <c r="D716" s="333"/>
      <c r="E716" s="333"/>
      <c r="F716" s="333"/>
      <c r="G716" s="334"/>
      <c r="H716" s="331"/>
    </row>
    <row r="717">
      <c r="B717" s="333"/>
      <c r="C717" s="333"/>
      <c r="D717" s="333"/>
      <c r="E717" s="333"/>
      <c r="F717" s="333"/>
      <c r="G717" s="334"/>
      <c r="H717" s="331"/>
    </row>
    <row r="718">
      <c r="B718" s="333"/>
      <c r="C718" s="333"/>
      <c r="D718" s="333"/>
      <c r="E718" s="333"/>
      <c r="F718" s="333"/>
      <c r="G718" s="334"/>
      <c r="H718" s="331"/>
    </row>
    <row r="719">
      <c r="B719" s="333"/>
      <c r="C719" s="333"/>
      <c r="D719" s="333"/>
      <c r="E719" s="333"/>
      <c r="F719" s="333"/>
      <c r="G719" s="334"/>
      <c r="H719" s="331"/>
    </row>
    <row r="720">
      <c r="B720" s="333"/>
      <c r="C720" s="333"/>
      <c r="D720" s="333"/>
      <c r="E720" s="333"/>
      <c r="F720" s="333"/>
      <c r="G720" s="334"/>
      <c r="H720" s="331"/>
    </row>
    <row r="721">
      <c r="B721" s="333"/>
      <c r="C721" s="333"/>
      <c r="D721" s="333"/>
      <c r="E721" s="333"/>
      <c r="F721" s="333"/>
      <c r="G721" s="334"/>
      <c r="H721" s="331"/>
    </row>
    <row r="722">
      <c r="B722" s="333"/>
      <c r="C722" s="333"/>
      <c r="D722" s="333"/>
      <c r="E722" s="333"/>
      <c r="F722" s="333"/>
      <c r="G722" s="334"/>
      <c r="H722" s="331"/>
    </row>
    <row r="723">
      <c r="B723" s="333"/>
      <c r="C723" s="333"/>
      <c r="D723" s="333"/>
      <c r="E723" s="333"/>
      <c r="F723" s="333"/>
      <c r="G723" s="334"/>
      <c r="H723" s="331"/>
    </row>
    <row r="724">
      <c r="B724" s="333"/>
      <c r="C724" s="333"/>
      <c r="D724" s="333"/>
      <c r="E724" s="333"/>
      <c r="F724" s="333"/>
      <c r="G724" s="334"/>
      <c r="H724" s="331"/>
    </row>
    <row r="725">
      <c r="B725" s="333"/>
      <c r="C725" s="333"/>
      <c r="D725" s="333"/>
      <c r="E725" s="333"/>
      <c r="F725" s="333"/>
      <c r="G725" s="334"/>
      <c r="H725" s="331"/>
    </row>
    <row r="726">
      <c r="B726" s="333"/>
      <c r="C726" s="333"/>
      <c r="D726" s="333"/>
      <c r="E726" s="333"/>
      <c r="F726" s="333"/>
      <c r="G726" s="334"/>
      <c r="H726" s="331"/>
    </row>
    <row r="727">
      <c r="B727" s="333"/>
      <c r="C727" s="333"/>
      <c r="D727" s="333"/>
      <c r="E727" s="333"/>
      <c r="F727" s="333"/>
      <c r="G727" s="334"/>
      <c r="H727" s="331"/>
    </row>
    <row r="728">
      <c r="B728" s="333"/>
      <c r="C728" s="333"/>
      <c r="D728" s="333"/>
      <c r="E728" s="333"/>
      <c r="F728" s="333"/>
      <c r="G728" s="334"/>
      <c r="H728" s="331"/>
    </row>
    <row r="729">
      <c r="B729" s="333"/>
      <c r="C729" s="333"/>
      <c r="D729" s="333"/>
      <c r="E729" s="333"/>
      <c r="F729" s="333"/>
      <c r="G729" s="334"/>
      <c r="H729" s="331"/>
    </row>
    <row r="730">
      <c r="B730" s="333"/>
      <c r="C730" s="333"/>
      <c r="D730" s="333"/>
      <c r="E730" s="333"/>
      <c r="F730" s="333"/>
      <c r="G730" s="334"/>
      <c r="H730" s="331"/>
    </row>
    <row r="731">
      <c r="B731" s="333"/>
      <c r="C731" s="333"/>
      <c r="D731" s="333"/>
      <c r="E731" s="333"/>
      <c r="F731" s="333"/>
      <c r="G731" s="334"/>
      <c r="H731" s="331"/>
    </row>
    <row r="732">
      <c r="B732" s="333"/>
      <c r="C732" s="333"/>
      <c r="D732" s="333"/>
      <c r="E732" s="333"/>
      <c r="F732" s="333"/>
      <c r="G732" s="334"/>
      <c r="H732" s="331"/>
    </row>
    <row r="733">
      <c r="B733" s="333"/>
      <c r="C733" s="333"/>
      <c r="D733" s="333"/>
      <c r="E733" s="333"/>
      <c r="F733" s="333"/>
      <c r="G733" s="334"/>
      <c r="H733" s="331"/>
    </row>
    <row r="734">
      <c r="B734" s="333"/>
      <c r="C734" s="333"/>
      <c r="D734" s="333"/>
      <c r="E734" s="333"/>
      <c r="F734" s="333"/>
      <c r="G734" s="334"/>
      <c r="H734" s="331"/>
    </row>
    <row r="735">
      <c r="B735" s="333"/>
      <c r="C735" s="333"/>
      <c r="D735" s="333"/>
      <c r="E735" s="333"/>
      <c r="F735" s="333"/>
      <c r="G735" s="334"/>
      <c r="H735" s="331"/>
    </row>
    <row r="736">
      <c r="B736" s="333"/>
      <c r="C736" s="333"/>
      <c r="D736" s="333"/>
      <c r="E736" s="333"/>
      <c r="F736" s="333"/>
      <c r="G736" s="334"/>
      <c r="H736" s="331"/>
    </row>
    <row r="737">
      <c r="B737" s="333"/>
      <c r="C737" s="333"/>
      <c r="D737" s="333"/>
      <c r="E737" s="333"/>
      <c r="F737" s="333"/>
      <c r="G737" s="334"/>
      <c r="H737" s="331"/>
    </row>
    <row r="738">
      <c r="B738" s="333"/>
      <c r="C738" s="333"/>
      <c r="D738" s="333"/>
      <c r="E738" s="333"/>
      <c r="F738" s="333"/>
      <c r="G738" s="334"/>
      <c r="H738" s="331"/>
    </row>
    <row r="739">
      <c r="B739" s="333"/>
      <c r="C739" s="333"/>
      <c r="D739" s="333"/>
      <c r="E739" s="333"/>
      <c r="F739" s="333"/>
      <c r="G739" s="334"/>
      <c r="H739" s="331"/>
    </row>
    <row r="740">
      <c r="B740" s="333"/>
      <c r="C740" s="333"/>
      <c r="D740" s="333"/>
      <c r="E740" s="333"/>
      <c r="F740" s="333"/>
      <c r="G740" s="334"/>
      <c r="H740" s="331"/>
    </row>
    <row r="741">
      <c r="B741" s="333"/>
      <c r="C741" s="333"/>
      <c r="D741" s="333"/>
      <c r="E741" s="333"/>
      <c r="F741" s="333"/>
      <c r="G741" s="334"/>
      <c r="H741" s="331"/>
    </row>
    <row r="742">
      <c r="B742" s="333"/>
      <c r="C742" s="333"/>
      <c r="D742" s="333"/>
      <c r="E742" s="333"/>
      <c r="F742" s="333"/>
      <c r="G742" s="334"/>
      <c r="H742" s="331"/>
    </row>
    <row r="743">
      <c r="B743" s="333"/>
      <c r="C743" s="333"/>
      <c r="D743" s="333"/>
      <c r="E743" s="333"/>
      <c r="F743" s="333"/>
      <c r="G743" s="334"/>
      <c r="H743" s="331"/>
    </row>
    <row r="744">
      <c r="B744" s="333"/>
      <c r="C744" s="333"/>
      <c r="D744" s="333"/>
      <c r="E744" s="333"/>
      <c r="F744" s="333"/>
      <c r="G744" s="334"/>
      <c r="H744" s="331"/>
    </row>
    <row r="745">
      <c r="B745" s="333"/>
      <c r="C745" s="333"/>
      <c r="D745" s="333"/>
      <c r="E745" s="333"/>
      <c r="F745" s="333"/>
      <c r="G745" s="334"/>
      <c r="H745" s="331"/>
    </row>
    <row r="746">
      <c r="B746" s="333"/>
      <c r="C746" s="333"/>
      <c r="D746" s="333"/>
      <c r="E746" s="333"/>
      <c r="F746" s="333"/>
      <c r="G746" s="334"/>
      <c r="H746" s="331"/>
    </row>
    <row r="747">
      <c r="B747" s="333"/>
      <c r="C747" s="333"/>
      <c r="D747" s="333"/>
      <c r="E747" s="333"/>
      <c r="F747" s="333"/>
      <c r="G747" s="334"/>
      <c r="H747" s="331"/>
    </row>
    <row r="748">
      <c r="B748" s="333"/>
      <c r="C748" s="333"/>
      <c r="D748" s="333"/>
      <c r="E748" s="333"/>
      <c r="F748" s="333"/>
      <c r="G748" s="334"/>
      <c r="H748" s="331"/>
    </row>
    <row r="749">
      <c r="B749" s="333"/>
      <c r="C749" s="333"/>
      <c r="D749" s="333"/>
      <c r="E749" s="333"/>
      <c r="F749" s="333"/>
      <c r="G749" s="334"/>
      <c r="H749" s="331"/>
    </row>
    <row r="750">
      <c r="B750" s="333"/>
      <c r="C750" s="333"/>
      <c r="D750" s="333"/>
      <c r="E750" s="333"/>
      <c r="F750" s="333"/>
      <c r="G750" s="334"/>
      <c r="H750" s="331"/>
    </row>
    <row r="751">
      <c r="B751" s="333"/>
      <c r="C751" s="333"/>
      <c r="D751" s="333"/>
      <c r="E751" s="333"/>
      <c r="F751" s="333"/>
      <c r="G751" s="334"/>
      <c r="H751" s="331"/>
    </row>
    <row r="752">
      <c r="B752" s="333"/>
      <c r="C752" s="333"/>
      <c r="D752" s="333"/>
      <c r="E752" s="333"/>
      <c r="F752" s="333"/>
      <c r="G752" s="334"/>
      <c r="H752" s="331"/>
    </row>
    <row r="753">
      <c r="B753" s="333"/>
      <c r="C753" s="333"/>
      <c r="D753" s="333"/>
      <c r="E753" s="333"/>
      <c r="F753" s="333"/>
      <c r="G753" s="334"/>
      <c r="H753" s="331"/>
    </row>
    <row r="754">
      <c r="B754" s="333"/>
      <c r="C754" s="333"/>
      <c r="D754" s="333"/>
      <c r="E754" s="333"/>
      <c r="F754" s="333"/>
      <c r="G754" s="334"/>
      <c r="H754" s="331"/>
    </row>
    <row r="755">
      <c r="B755" s="333"/>
      <c r="C755" s="333"/>
      <c r="D755" s="333"/>
      <c r="E755" s="333"/>
      <c r="F755" s="333"/>
      <c r="G755" s="334"/>
      <c r="H755" s="331"/>
    </row>
    <row r="756">
      <c r="B756" s="333"/>
      <c r="C756" s="333"/>
      <c r="D756" s="333"/>
      <c r="E756" s="333"/>
      <c r="F756" s="333"/>
      <c r="G756" s="334"/>
      <c r="H756" s="331"/>
    </row>
    <row r="757">
      <c r="B757" s="333"/>
      <c r="C757" s="333"/>
      <c r="D757" s="333"/>
      <c r="E757" s="333"/>
      <c r="F757" s="333"/>
      <c r="G757" s="334"/>
      <c r="H757" s="331"/>
    </row>
    <row r="758">
      <c r="B758" s="333"/>
      <c r="C758" s="333"/>
      <c r="D758" s="333"/>
      <c r="E758" s="333"/>
      <c r="F758" s="333"/>
      <c r="G758" s="334"/>
      <c r="H758" s="331"/>
    </row>
    <row r="759">
      <c r="B759" s="333"/>
      <c r="C759" s="333"/>
      <c r="D759" s="333"/>
      <c r="E759" s="333"/>
      <c r="F759" s="333"/>
      <c r="G759" s="334"/>
      <c r="H759" s="331"/>
    </row>
    <row r="760">
      <c r="B760" s="333"/>
      <c r="C760" s="333"/>
      <c r="D760" s="333"/>
      <c r="E760" s="333"/>
      <c r="F760" s="333"/>
      <c r="G760" s="334"/>
      <c r="H760" s="331"/>
    </row>
    <row r="761">
      <c r="B761" s="333"/>
      <c r="C761" s="333"/>
      <c r="D761" s="333"/>
      <c r="E761" s="333"/>
      <c r="F761" s="333"/>
      <c r="G761" s="334"/>
      <c r="H761" s="331"/>
    </row>
    <row r="762">
      <c r="B762" s="333"/>
      <c r="C762" s="333"/>
      <c r="D762" s="333"/>
      <c r="E762" s="333"/>
      <c r="F762" s="333"/>
      <c r="G762" s="334"/>
      <c r="H762" s="331"/>
    </row>
    <row r="763">
      <c r="B763" s="333"/>
      <c r="C763" s="333"/>
      <c r="D763" s="333"/>
      <c r="E763" s="333"/>
      <c r="F763" s="333"/>
      <c r="G763" s="334"/>
      <c r="H763" s="331"/>
    </row>
    <row r="764">
      <c r="B764" s="333"/>
      <c r="C764" s="333"/>
      <c r="D764" s="333"/>
      <c r="E764" s="333"/>
      <c r="F764" s="333"/>
      <c r="G764" s="334"/>
      <c r="H764" s="331"/>
    </row>
    <row r="765">
      <c r="B765" s="333"/>
      <c r="C765" s="333"/>
      <c r="D765" s="333"/>
      <c r="E765" s="333"/>
      <c r="F765" s="333"/>
      <c r="G765" s="334"/>
      <c r="H765" s="331"/>
    </row>
    <row r="766">
      <c r="B766" s="333"/>
      <c r="C766" s="333"/>
      <c r="D766" s="333"/>
      <c r="E766" s="333"/>
      <c r="F766" s="333"/>
      <c r="G766" s="334"/>
      <c r="H766" s="331"/>
    </row>
    <row r="767">
      <c r="B767" s="333"/>
      <c r="C767" s="333"/>
      <c r="D767" s="333"/>
      <c r="E767" s="333"/>
      <c r="F767" s="333"/>
      <c r="G767" s="334"/>
      <c r="H767" s="331"/>
    </row>
    <row r="768">
      <c r="B768" s="333"/>
      <c r="C768" s="333"/>
      <c r="D768" s="333"/>
      <c r="E768" s="333"/>
      <c r="F768" s="333"/>
      <c r="G768" s="334"/>
      <c r="H768" s="331"/>
    </row>
    <row r="769">
      <c r="B769" s="333"/>
      <c r="C769" s="333"/>
      <c r="D769" s="333"/>
      <c r="E769" s="333"/>
      <c r="F769" s="333"/>
      <c r="G769" s="334"/>
      <c r="H769" s="331"/>
    </row>
    <row r="770">
      <c r="B770" s="333"/>
      <c r="C770" s="333"/>
      <c r="D770" s="333"/>
      <c r="E770" s="333"/>
      <c r="F770" s="333"/>
      <c r="G770" s="334"/>
      <c r="H770" s="331"/>
    </row>
    <row r="771">
      <c r="B771" s="333"/>
      <c r="C771" s="333"/>
      <c r="D771" s="333"/>
      <c r="E771" s="333"/>
      <c r="F771" s="333"/>
      <c r="G771" s="334"/>
      <c r="H771" s="331"/>
    </row>
    <row r="772">
      <c r="B772" s="333"/>
      <c r="C772" s="333"/>
      <c r="D772" s="333"/>
      <c r="E772" s="333"/>
      <c r="F772" s="333"/>
      <c r="G772" s="334"/>
      <c r="H772" s="331"/>
    </row>
    <row r="773">
      <c r="B773" s="333"/>
      <c r="C773" s="333"/>
      <c r="D773" s="333"/>
      <c r="E773" s="333"/>
      <c r="F773" s="333"/>
      <c r="G773" s="334"/>
      <c r="H773" s="331"/>
    </row>
    <row r="774">
      <c r="B774" s="333"/>
      <c r="C774" s="333"/>
      <c r="D774" s="333"/>
      <c r="E774" s="333"/>
      <c r="F774" s="333"/>
      <c r="G774" s="334"/>
      <c r="H774" s="331"/>
    </row>
    <row r="775">
      <c r="B775" s="333"/>
      <c r="C775" s="333"/>
      <c r="D775" s="333"/>
      <c r="E775" s="333"/>
      <c r="F775" s="333"/>
      <c r="G775" s="334"/>
      <c r="H775" s="331"/>
    </row>
    <row r="776">
      <c r="B776" s="333"/>
      <c r="C776" s="333"/>
      <c r="D776" s="333"/>
      <c r="E776" s="333"/>
      <c r="F776" s="333"/>
      <c r="G776" s="334"/>
      <c r="H776" s="331"/>
    </row>
    <row r="777">
      <c r="B777" s="333"/>
      <c r="C777" s="333"/>
      <c r="D777" s="333"/>
      <c r="E777" s="333"/>
      <c r="F777" s="333"/>
      <c r="G777" s="334"/>
      <c r="H777" s="331"/>
    </row>
    <row r="778">
      <c r="B778" s="333"/>
      <c r="C778" s="333"/>
      <c r="D778" s="333"/>
      <c r="E778" s="333"/>
      <c r="F778" s="333"/>
      <c r="G778" s="334"/>
      <c r="H778" s="331"/>
    </row>
    <row r="779">
      <c r="B779" s="333"/>
      <c r="C779" s="333"/>
      <c r="D779" s="333"/>
      <c r="E779" s="333"/>
      <c r="F779" s="333"/>
      <c r="G779" s="334"/>
      <c r="H779" s="331"/>
    </row>
    <row r="780">
      <c r="B780" s="333"/>
      <c r="C780" s="333"/>
      <c r="D780" s="333"/>
      <c r="E780" s="333"/>
      <c r="F780" s="333"/>
      <c r="G780" s="334"/>
      <c r="H780" s="331"/>
    </row>
    <row r="781">
      <c r="B781" s="333"/>
      <c r="C781" s="333"/>
      <c r="D781" s="333"/>
      <c r="E781" s="333"/>
      <c r="F781" s="333"/>
      <c r="G781" s="334"/>
      <c r="H781" s="331"/>
    </row>
    <row r="782">
      <c r="B782" s="333"/>
      <c r="C782" s="333"/>
      <c r="D782" s="333"/>
      <c r="E782" s="333"/>
      <c r="F782" s="333"/>
      <c r="G782" s="334"/>
      <c r="H782" s="331"/>
    </row>
    <row r="783">
      <c r="B783" s="333"/>
      <c r="C783" s="333"/>
      <c r="D783" s="333"/>
      <c r="E783" s="333"/>
      <c r="F783" s="333"/>
      <c r="G783" s="334"/>
      <c r="H783" s="331"/>
    </row>
    <row r="784">
      <c r="B784" s="333"/>
      <c r="C784" s="333"/>
      <c r="D784" s="333"/>
      <c r="E784" s="333"/>
      <c r="F784" s="333"/>
      <c r="G784" s="334"/>
      <c r="H784" s="331"/>
    </row>
    <row r="785">
      <c r="B785" s="333"/>
      <c r="C785" s="333"/>
      <c r="D785" s="333"/>
      <c r="E785" s="333"/>
      <c r="F785" s="333"/>
      <c r="G785" s="334"/>
      <c r="H785" s="331"/>
    </row>
    <row r="786">
      <c r="B786" s="333"/>
      <c r="C786" s="333"/>
      <c r="D786" s="333"/>
      <c r="E786" s="333"/>
      <c r="F786" s="333"/>
      <c r="G786" s="334"/>
      <c r="H786" s="331"/>
    </row>
    <row r="787">
      <c r="B787" s="333"/>
      <c r="C787" s="333"/>
      <c r="D787" s="333"/>
      <c r="E787" s="333"/>
      <c r="F787" s="333"/>
      <c r="G787" s="334"/>
      <c r="H787" s="331"/>
    </row>
    <row r="788">
      <c r="B788" s="333"/>
      <c r="C788" s="333"/>
      <c r="D788" s="333"/>
      <c r="E788" s="333"/>
      <c r="F788" s="333"/>
      <c r="G788" s="334"/>
      <c r="H788" s="331"/>
    </row>
    <row r="789">
      <c r="B789" s="333"/>
      <c r="C789" s="333"/>
      <c r="D789" s="333"/>
      <c r="E789" s="333"/>
      <c r="F789" s="333"/>
      <c r="G789" s="334"/>
      <c r="H789" s="331"/>
    </row>
    <row r="790">
      <c r="B790" s="333"/>
      <c r="C790" s="333"/>
      <c r="D790" s="333"/>
      <c r="E790" s="333"/>
      <c r="F790" s="333"/>
      <c r="G790" s="334"/>
      <c r="H790" s="331"/>
    </row>
    <row r="791">
      <c r="B791" s="333"/>
      <c r="C791" s="333"/>
      <c r="D791" s="333"/>
      <c r="E791" s="333"/>
      <c r="F791" s="333"/>
      <c r="G791" s="334"/>
      <c r="H791" s="331"/>
    </row>
    <row r="792">
      <c r="B792" s="333"/>
      <c r="C792" s="333"/>
      <c r="D792" s="333"/>
      <c r="E792" s="333"/>
      <c r="F792" s="333"/>
      <c r="G792" s="334"/>
      <c r="H792" s="331"/>
    </row>
    <row r="793">
      <c r="B793" s="333"/>
      <c r="C793" s="333"/>
      <c r="D793" s="333"/>
      <c r="E793" s="333"/>
      <c r="F793" s="333"/>
      <c r="G793" s="334"/>
      <c r="H793" s="331"/>
    </row>
    <row r="794">
      <c r="B794" s="333"/>
      <c r="C794" s="333"/>
      <c r="D794" s="333"/>
      <c r="E794" s="333"/>
      <c r="F794" s="333"/>
      <c r="G794" s="334"/>
      <c r="H794" s="331"/>
    </row>
    <row r="795">
      <c r="B795" s="333"/>
      <c r="C795" s="333"/>
      <c r="D795" s="333"/>
      <c r="E795" s="333"/>
      <c r="F795" s="333"/>
      <c r="G795" s="334"/>
      <c r="H795" s="331"/>
    </row>
    <row r="796">
      <c r="B796" s="333"/>
      <c r="C796" s="333"/>
      <c r="D796" s="333"/>
      <c r="E796" s="333"/>
      <c r="F796" s="333"/>
      <c r="G796" s="334"/>
      <c r="H796" s="331"/>
    </row>
    <row r="797">
      <c r="B797" s="333"/>
      <c r="C797" s="333"/>
      <c r="D797" s="333"/>
      <c r="E797" s="333"/>
      <c r="F797" s="333"/>
      <c r="G797" s="334"/>
      <c r="H797" s="331"/>
    </row>
    <row r="798">
      <c r="B798" s="333"/>
      <c r="C798" s="333"/>
      <c r="D798" s="333"/>
      <c r="E798" s="333"/>
      <c r="F798" s="333"/>
      <c r="G798" s="334"/>
      <c r="H798" s="331"/>
    </row>
    <row r="799">
      <c r="B799" s="333"/>
      <c r="C799" s="333"/>
      <c r="D799" s="333"/>
      <c r="E799" s="333"/>
      <c r="F799" s="333"/>
      <c r="G799" s="334"/>
      <c r="H799" s="331"/>
    </row>
    <row r="800">
      <c r="B800" s="333"/>
      <c r="C800" s="333"/>
      <c r="D800" s="333"/>
      <c r="E800" s="333"/>
      <c r="F800" s="333"/>
      <c r="G800" s="334"/>
      <c r="H800" s="331"/>
    </row>
    <row r="801">
      <c r="B801" s="333"/>
      <c r="C801" s="333"/>
      <c r="D801" s="333"/>
      <c r="E801" s="333"/>
      <c r="F801" s="333"/>
      <c r="G801" s="334"/>
      <c r="H801" s="331"/>
    </row>
    <row r="802">
      <c r="B802" s="333"/>
      <c r="C802" s="333"/>
      <c r="D802" s="333"/>
      <c r="E802" s="333"/>
      <c r="F802" s="333"/>
      <c r="G802" s="334"/>
      <c r="H802" s="331"/>
    </row>
    <row r="803">
      <c r="B803" s="333"/>
      <c r="C803" s="333"/>
      <c r="D803" s="333"/>
      <c r="E803" s="333"/>
      <c r="F803" s="333"/>
      <c r="G803" s="334"/>
      <c r="H803" s="331"/>
    </row>
    <row r="804">
      <c r="B804" s="333"/>
      <c r="C804" s="333"/>
      <c r="D804" s="333"/>
      <c r="E804" s="333"/>
      <c r="F804" s="333"/>
      <c r="G804" s="334"/>
      <c r="H804" s="331"/>
    </row>
    <row r="805">
      <c r="B805" s="333"/>
      <c r="C805" s="333"/>
      <c r="D805" s="333"/>
      <c r="E805" s="333"/>
      <c r="F805" s="333"/>
      <c r="G805" s="334"/>
      <c r="H805" s="331"/>
    </row>
    <row r="806">
      <c r="B806" s="333"/>
      <c r="C806" s="333"/>
      <c r="D806" s="333"/>
      <c r="E806" s="333"/>
      <c r="F806" s="333"/>
      <c r="G806" s="334"/>
      <c r="H806" s="331"/>
    </row>
    <row r="807">
      <c r="B807" s="333"/>
      <c r="C807" s="333"/>
      <c r="D807" s="333"/>
      <c r="E807" s="333"/>
      <c r="F807" s="333"/>
      <c r="G807" s="334"/>
      <c r="H807" s="331"/>
    </row>
    <row r="808">
      <c r="B808" s="333"/>
      <c r="C808" s="333"/>
      <c r="D808" s="333"/>
      <c r="E808" s="333"/>
      <c r="F808" s="333"/>
      <c r="G808" s="334"/>
      <c r="H808" s="331"/>
    </row>
    <row r="809">
      <c r="B809" s="333"/>
      <c r="C809" s="333"/>
      <c r="D809" s="333"/>
      <c r="E809" s="333"/>
      <c r="F809" s="333"/>
      <c r="G809" s="334"/>
      <c r="H809" s="331"/>
    </row>
    <row r="810">
      <c r="B810" s="333"/>
      <c r="C810" s="333"/>
      <c r="D810" s="333"/>
      <c r="E810" s="333"/>
      <c r="F810" s="333"/>
      <c r="G810" s="334"/>
      <c r="H810" s="331"/>
    </row>
    <row r="811">
      <c r="B811" s="333"/>
      <c r="C811" s="333"/>
      <c r="D811" s="333"/>
      <c r="E811" s="333"/>
      <c r="F811" s="333"/>
      <c r="G811" s="334"/>
      <c r="H811" s="331"/>
    </row>
    <row r="812">
      <c r="B812" s="333"/>
      <c r="C812" s="333"/>
      <c r="D812" s="333"/>
      <c r="E812" s="333"/>
      <c r="F812" s="333"/>
      <c r="G812" s="334"/>
      <c r="H812" s="331"/>
    </row>
    <row r="813">
      <c r="B813" s="333"/>
      <c r="C813" s="333"/>
      <c r="D813" s="333"/>
      <c r="E813" s="333"/>
      <c r="F813" s="333"/>
      <c r="G813" s="334"/>
      <c r="H813" s="331"/>
    </row>
    <row r="814">
      <c r="B814" s="333"/>
      <c r="C814" s="333"/>
      <c r="D814" s="333"/>
      <c r="E814" s="333"/>
      <c r="F814" s="333"/>
      <c r="G814" s="334"/>
      <c r="H814" s="331"/>
    </row>
    <row r="815">
      <c r="B815" s="333"/>
      <c r="C815" s="333"/>
      <c r="D815" s="333"/>
      <c r="E815" s="333"/>
      <c r="F815" s="333"/>
      <c r="G815" s="334"/>
      <c r="H815" s="331"/>
    </row>
    <row r="816">
      <c r="B816" s="333"/>
      <c r="C816" s="333"/>
      <c r="D816" s="333"/>
      <c r="E816" s="333"/>
      <c r="F816" s="333"/>
      <c r="G816" s="334"/>
      <c r="H816" s="331"/>
    </row>
    <row r="817">
      <c r="B817" s="333"/>
      <c r="C817" s="333"/>
      <c r="D817" s="333"/>
      <c r="E817" s="333"/>
      <c r="F817" s="333"/>
      <c r="G817" s="334"/>
      <c r="H817" s="331"/>
    </row>
    <row r="818">
      <c r="B818" s="333"/>
      <c r="C818" s="333"/>
      <c r="D818" s="333"/>
      <c r="E818" s="333"/>
      <c r="F818" s="333"/>
      <c r="G818" s="334"/>
      <c r="H818" s="331"/>
    </row>
    <row r="819">
      <c r="B819" s="333"/>
      <c r="C819" s="333"/>
      <c r="D819" s="333"/>
      <c r="E819" s="333"/>
      <c r="F819" s="333"/>
      <c r="G819" s="334"/>
      <c r="H819" s="331"/>
    </row>
    <row r="820">
      <c r="B820" s="333"/>
      <c r="C820" s="333"/>
      <c r="D820" s="333"/>
      <c r="E820" s="333"/>
      <c r="F820" s="333"/>
      <c r="G820" s="334"/>
      <c r="H820" s="331"/>
    </row>
    <row r="821">
      <c r="B821" s="333"/>
      <c r="C821" s="333"/>
      <c r="D821" s="333"/>
      <c r="E821" s="333"/>
      <c r="F821" s="333"/>
      <c r="G821" s="334"/>
      <c r="H821" s="331"/>
    </row>
    <row r="822">
      <c r="B822" s="333"/>
      <c r="C822" s="333"/>
      <c r="D822" s="333"/>
      <c r="E822" s="333"/>
      <c r="F822" s="333"/>
      <c r="G822" s="334"/>
      <c r="H822" s="331"/>
    </row>
    <row r="823">
      <c r="B823" s="333"/>
      <c r="C823" s="333"/>
      <c r="D823" s="333"/>
      <c r="E823" s="333"/>
      <c r="F823" s="333"/>
      <c r="G823" s="334"/>
      <c r="H823" s="331"/>
    </row>
    <row r="824">
      <c r="B824" s="333"/>
      <c r="C824" s="333"/>
      <c r="D824" s="333"/>
      <c r="E824" s="333"/>
      <c r="F824" s="333"/>
      <c r="G824" s="334"/>
      <c r="H824" s="331"/>
    </row>
    <row r="825">
      <c r="B825" s="333"/>
      <c r="C825" s="333"/>
      <c r="D825" s="333"/>
      <c r="E825" s="333"/>
      <c r="F825" s="333"/>
      <c r="G825" s="334"/>
      <c r="H825" s="331"/>
    </row>
    <row r="826">
      <c r="B826" s="333"/>
      <c r="C826" s="333"/>
      <c r="D826" s="333"/>
      <c r="E826" s="333"/>
      <c r="F826" s="333"/>
      <c r="G826" s="334"/>
      <c r="H826" s="331"/>
    </row>
    <row r="827">
      <c r="B827" s="333"/>
      <c r="C827" s="333"/>
      <c r="D827" s="333"/>
      <c r="E827" s="333"/>
      <c r="F827" s="333"/>
      <c r="G827" s="334"/>
      <c r="H827" s="331"/>
    </row>
    <row r="828">
      <c r="B828" s="333"/>
      <c r="C828" s="333"/>
      <c r="D828" s="333"/>
      <c r="E828" s="333"/>
      <c r="F828" s="333"/>
      <c r="G828" s="334"/>
      <c r="H828" s="331"/>
    </row>
    <row r="829">
      <c r="B829" s="333"/>
      <c r="C829" s="333"/>
      <c r="D829" s="333"/>
      <c r="E829" s="333"/>
      <c r="F829" s="333"/>
      <c r="G829" s="334"/>
      <c r="H829" s="331"/>
    </row>
    <row r="830">
      <c r="B830" s="333"/>
      <c r="C830" s="333"/>
      <c r="D830" s="333"/>
      <c r="E830" s="333"/>
      <c r="F830" s="333"/>
      <c r="G830" s="334"/>
      <c r="H830" s="331"/>
    </row>
    <row r="831">
      <c r="B831" s="333"/>
      <c r="C831" s="333"/>
      <c r="D831" s="333"/>
      <c r="E831" s="333"/>
      <c r="F831" s="333"/>
      <c r="G831" s="334"/>
      <c r="H831" s="331"/>
    </row>
    <row r="832">
      <c r="B832" s="333"/>
      <c r="C832" s="333"/>
      <c r="D832" s="333"/>
      <c r="E832" s="333"/>
      <c r="F832" s="333"/>
      <c r="G832" s="334"/>
      <c r="H832" s="331"/>
    </row>
    <row r="833">
      <c r="B833" s="333"/>
      <c r="C833" s="333"/>
      <c r="D833" s="333"/>
      <c r="E833" s="333"/>
      <c r="F833" s="333"/>
      <c r="G833" s="334"/>
      <c r="H833" s="331"/>
    </row>
    <row r="834">
      <c r="B834" s="333"/>
      <c r="C834" s="333"/>
      <c r="D834" s="333"/>
      <c r="E834" s="333"/>
      <c r="F834" s="333"/>
      <c r="G834" s="334"/>
      <c r="H834" s="331"/>
    </row>
    <row r="835">
      <c r="B835" s="333"/>
      <c r="C835" s="333"/>
      <c r="D835" s="333"/>
      <c r="E835" s="333"/>
      <c r="F835" s="333"/>
      <c r="G835" s="334"/>
      <c r="H835" s="331"/>
    </row>
    <row r="836">
      <c r="B836" s="333"/>
      <c r="C836" s="333"/>
      <c r="D836" s="333"/>
      <c r="E836" s="333"/>
      <c r="F836" s="333"/>
      <c r="G836" s="334"/>
      <c r="H836" s="331"/>
    </row>
    <row r="837">
      <c r="B837" s="333"/>
      <c r="C837" s="333"/>
      <c r="D837" s="333"/>
      <c r="E837" s="333"/>
      <c r="F837" s="333"/>
      <c r="G837" s="334"/>
      <c r="H837" s="331"/>
    </row>
    <row r="838">
      <c r="B838" s="333"/>
      <c r="C838" s="333"/>
      <c r="D838" s="333"/>
      <c r="E838" s="333"/>
      <c r="F838" s="333"/>
      <c r="G838" s="334"/>
      <c r="H838" s="331"/>
    </row>
    <row r="839">
      <c r="B839" s="333"/>
      <c r="C839" s="333"/>
      <c r="D839" s="333"/>
      <c r="E839" s="333"/>
      <c r="F839" s="333"/>
      <c r="G839" s="334"/>
      <c r="H839" s="331"/>
    </row>
    <row r="840">
      <c r="B840" s="333"/>
      <c r="C840" s="333"/>
      <c r="D840" s="333"/>
      <c r="E840" s="333"/>
      <c r="F840" s="333"/>
      <c r="G840" s="334"/>
      <c r="H840" s="331"/>
    </row>
    <row r="841">
      <c r="B841" s="333"/>
      <c r="C841" s="333"/>
      <c r="D841" s="333"/>
      <c r="E841" s="333"/>
      <c r="F841" s="333"/>
      <c r="G841" s="334"/>
      <c r="H841" s="331"/>
    </row>
    <row r="842">
      <c r="B842" s="333"/>
      <c r="C842" s="333"/>
      <c r="D842" s="333"/>
      <c r="E842" s="333"/>
      <c r="F842" s="333"/>
      <c r="G842" s="334"/>
      <c r="H842" s="331"/>
    </row>
    <row r="843">
      <c r="B843" s="333"/>
      <c r="C843" s="333"/>
      <c r="D843" s="333"/>
      <c r="E843" s="333"/>
      <c r="F843" s="333"/>
      <c r="G843" s="334"/>
      <c r="H843" s="331"/>
    </row>
    <row r="844">
      <c r="B844" s="333"/>
      <c r="C844" s="333"/>
      <c r="D844" s="333"/>
      <c r="E844" s="333"/>
      <c r="F844" s="333"/>
      <c r="G844" s="334"/>
      <c r="H844" s="331"/>
    </row>
    <row r="845">
      <c r="B845" s="333"/>
      <c r="C845" s="333"/>
      <c r="D845" s="333"/>
      <c r="E845" s="333"/>
      <c r="F845" s="333"/>
      <c r="G845" s="334"/>
      <c r="H845" s="331"/>
    </row>
    <row r="846">
      <c r="B846" s="333"/>
      <c r="C846" s="333"/>
      <c r="D846" s="333"/>
      <c r="E846" s="333"/>
      <c r="F846" s="333"/>
      <c r="G846" s="334"/>
      <c r="H846" s="331"/>
    </row>
    <row r="847">
      <c r="B847" s="333"/>
      <c r="C847" s="333"/>
      <c r="D847" s="333"/>
      <c r="E847" s="333"/>
      <c r="F847" s="333"/>
      <c r="G847" s="334"/>
      <c r="H847" s="331"/>
    </row>
    <row r="848">
      <c r="B848" s="333"/>
      <c r="C848" s="333"/>
      <c r="D848" s="333"/>
      <c r="E848" s="333"/>
      <c r="F848" s="333"/>
      <c r="G848" s="334"/>
      <c r="H848" s="331"/>
    </row>
    <row r="849">
      <c r="B849" s="333"/>
      <c r="C849" s="333"/>
      <c r="D849" s="333"/>
      <c r="E849" s="333"/>
      <c r="F849" s="333"/>
      <c r="G849" s="334"/>
      <c r="H849" s="331"/>
    </row>
    <row r="850">
      <c r="B850" s="333"/>
      <c r="C850" s="333"/>
      <c r="D850" s="333"/>
      <c r="E850" s="333"/>
      <c r="F850" s="333"/>
      <c r="G850" s="334"/>
      <c r="H850" s="331"/>
    </row>
    <row r="851">
      <c r="B851" s="333"/>
      <c r="C851" s="333"/>
      <c r="D851" s="333"/>
      <c r="E851" s="333"/>
      <c r="F851" s="333"/>
      <c r="G851" s="334"/>
      <c r="H851" s="331"/>
    </row>
    <row r="852">
      <c r="B852" s="333"/>
      <c r="C852" s="333"/>
      <c r="D852" s="333"/>
      <c r="E852" s="333"/>
      <c r="F852" s="333"/>
      <c r="G852" s="334"/>
      <c r="H852" s="331"/>
    </row>
    <row r="853">
      <c r="B853" s="333"/>
      <c r="C853" s="333"/>
      <c r="D853" s="333"/>
      <c r="E853" s="333"/>
      <c r="F853" s="333"/>
      <c r="G853" s="334"/>
      <c r="H853" s="331"/>
    </row>
    <row r="854">
      <c r="B854" s="333"/>
      <c r="C854" s="333"/>
      <c r="D854" s="333"/>
      <c r="E854" s="333"/>
      <c r="F854" s="333"/>
      <c r="G854" s="334"/>
      <c r="H854" s="331"/>
    </row>
    <row r="855">
      <c r="B855" s="333"/>
      <c r="C855" s="333"/>
      <c r="D855" s="333"/>
      <c r="E855" s="333"/>
      <c r="F855" s="333"/>
      <c r="G855" s="334"/>
      <c r="H855" s="331"/>
    </row>
    <row r="856">
      <c r="B856" s="333"/>
      <c r="C856" s="333"/>
      <c r="D856" s="333"/>
      <c r="E856" s="333"/>
      <c r="F856" s="333"/>
      <c r="G856" s="334"/>
      <c r="H856" s="331"/>
    </row>
    <row r="857">
      <c r="B857" s="333"/>
      <c r="C857" s="333"/>
      <c r="D857" s="333"/>
      <c r="E857" s="333"/>
      <c r="F857" s="333"/>
      <c r="G857" s="334"/>
      <c r="H857" s="331"/>
    </row>
    <row r="858">
      <c r="B858" s="333"/>
      <c r="C858" s="333"/>
      <c r="D858" s="333"/>
      <c r="E858" s="333"/>
      <c r="F858" s="333"/>
      <c r="G858" s="334"/>
      <c r="H858" s="331"/>
    </row>
    <row r="859">
      <c r="B859" s="333"/>
      <c r="C859" s="333"/>
      <c r="D859" s="333"/>
      <c r="E859" s="333"/>
      <c r="F859" s="333"/>
      <c r="G859" s="334"/>
      <c r="H859" s="331"/>
    </row>
    <row r="860">
      <c r="B860" s="333"/>
      <c r="C860" s="333"/>
      <c r="D860" s="333"/>
      <c r="E860" s="333"/>
      <c r="F860" s="333"/>
      <c r="G860" s="334"/>
      <c r="H860" s="331"/>
    </row>
    <row r="861">
      <c r="B861" s="333"/>
      <c r="C861" s="333"/>
      <c r="D861" s="333"/>
      <c r="E861" s="333"/>
      <c r="F861" s="333"/>
      <c r="G861" s="334"/>
      <c r="H861" s="331"/>
    </row>
    <row r="862">
      <c r="B862" s="333"/>
      <c r="C862" s="333"/>
      <c r="D862" s="333"/>
      <c r="E862" s="333"/>
      <c r="F862" s="333"/>
      <c r="G862" s="334"/>
      <c r="H862" s="331"/>
    </row>
    <row r="863">
      <c r="B863" s="333"/>
      <c r="C863" s="333"/>
      <c r="D863" s="333"/>
      <c r="E863" s="333"/>
      <c r="F863" s="333"/>
      <c r="G863" s="334"/>
      <c r="H863" s="331"/>
    </row>
    <row r="864">
      <c r="B864" s="333"/>
      <c r="C864" s="333"/>
      <c r="D864" s="333"/>
      <c r="E864" s="333"/>
      <c r="F864" s="333"/>
      <c r="G864" s="334"/>
      <c r="H864" s="331"/>
    </row>
    <row r="865">
      <c r="B865" s="333"/>
      <c r="C865" s="333"/>
      <c r="D865" s="333"/>
      <c r="E865" s="333"/>
      <c r="F865" s="333"/>
      <c r="G865" s="334"/>
      <c r="H865" s="331"/>
    </row>
    <row r="866">
      <c r="B866" s="333"/>
      <c r="C866" s="333"/>
      <c r="D866" s="333"/>
      <c r="E866" s="333"/>
      <c r="F866" s="333"/>
      <c r="G866" s="334"/>
      <c r="H866" s="331"/>
    </row>
    <row r="867">
      <c r="B867" s="333"/>
      <c r="C867" s="333"/>
      <c r="D867" s="333"/>
      <c r="E867" s="333"/>
      <c r="F867" s="333"/>
      <c r="G867" s="334"/>
      <c r="H867" s="331"/>
    </row>
    <row r="868">
      <c r="B868" s="333"/>
      <c r="C868" s="333"/>
      <c r="D868" s="333"/>
      <c r="E868" s="333"/>
      <c r="F868" s="333"/>
      <c r="G868" s="334"/>
      <c r="H868" s="331"/>
    </row>
    <row r="869">
      <c r="B869" s="333"/>
      <c r="C869" s="333"/>
      <c r="D869" s="333"/>
      <c r="E869" s="333"/>
      <c r="F869" s="333"/>
      <c r="G869" s="334"/>
      <c r="H869" s="331"/>
    </row>
    <row r="870">
      <c r="B870" s="333"/>
      <c r="C870" s="333"/>
      <c r="D870" s="333"/>
      <c r="E870" s="333"/>
      <c r="F870" s="333"/>
      <c r="G870" s="334"/>
      <c r="H870" s="331"/>
    </row>
    <row r="871">
      <c r="B871" s="333"/>
      <c r="C871" s="333"/>
      <c r="D871" s="333"/>
      <c r="E871" s="333"/>
      <c r="F871" s="333"/>
      <c r="G871" s="334"/>
      <c r="H871" s="331"/>
    </row>
    <row r="872">
      <c r="B872" s="333"/>
      <c r="C872" s="333"/>
      <c r="D872" s="333"/>
      <c r="E872" s="333"/>
      <c r="F872" s="333"/>
      <c r="G872" s="334"/>
      <c r="H872" s="331"/>
    </row>
    <row r="873">
      <c r="B873" s="333"/>
      <c r="C873" s="333"/>
      <c r="D873" s="333"/>
      <c r="E873" s="333"/>
      <c r="F873" s="333"/>
      <c r="G873" s="334"/>
      <c r="H873" s="331"/>
    </row>
    <row r="874">
      <c r="B874" s="333"/>
      <c r="C874" s="333"/>
      <c r="D874" s="333"/>
      <c r="E874" s="333"/>
      <c r="F874" s="333"/>
      <c r="G874" s="334"/>
      <c r="H874" s="331"/>
    </row>
    <row r="875">
      <c r="B875" s="333"/>
      <c r="C875" s="333"/>
      <c r="D875" s="333"/>
      <c r="E875" s="333"/>
      <c r="F875" s="333"/>
      <c r="G875" s="334"/>
      <c r="H875" s="331"/>
    </row>
    <row r="876">
      <c r="B876" s="333"/>
      <c r="C876" s="333"/>
      <c r="D876" s="333"/>
      <c r="E876" s="333"/>
      <c r="F876" s="333"/>
      <c r="G876" s="334"/>
      <c r="H876" s="331"/>
    </row>
    <row r="877">
      <c r="B877" s="333"/>
      <c r="C877" s="333"/>
      <c r="D877" s="333"/>
      <c r="E877" s="333"/>
      <c r="F877" s="333"/>
      <c r="G877" s="334"/>
      <c r="H877" s="331"/>
    </row>
    <row r="878">
      <c r="B878" s="333"/>
      <c r="C878" s="333"/>
      <c r="D878" s="333"/>
      <c r="E878" s="333"/>
      <c r="F878" s="333"/>
      <c r="G878" s="334"/>
      <c r="H878" s="331"/>
    </row>
    <row r="879">
      <c r="B879" s="333"/>
      <c r="C879" s="333"/>
      <c r="D879" s="333"/>
      <c r="E879" s="333"/>
      <c r="F879" s="333"/>
      <c r="G879" s="334"/>
      <c r="H879" s="331"/>
    </row>
    <row r="880">
      <c r="B880" s="333"/>
      <c r="C880" s="333"/>
      <c r="D880" s="333"/>
      <c r="E880" s="333"/>
      <c r="F880" s="333"/>
      <c r="G880" s="334"/>
      <c r="H880" s="331"/>
    </row>
    <row r="881">
      <c r="B881" s="333"/>
      <c r="C881" s="333"/>
      <c r="D881" s="333"/>
      <c r="E881" s="333"/>
      <c r="F881" s="333"/>
      <c r="G881" s="334"/>
      <c r="H881" s="331"/>
    </row>
    <row r="882">
      <c r="B882" s="333"/>
      <c r="C882" s="333"/>
      <c r="D882" s="333"/>
      <c r="E882" s="333"/>
      <c r="F882" s="333"/>
      <c r="G882" s="334"/>
      <c r="H882" s="331"/>
    </row>
    <row r="883">
      <c r="B883" s="333"/>
      <c r="C883" s="333"/>
      <c r="D883" s="333"/>
      <c r="E883" s="333"/>
      <c r="F883" s="333"/>
      <c r="G883" s="334"/>
      <c r="H883" s="331"/>
    </row>
    <row r="884">
      <c r="B884" s="333"/>
      <c r="C884" s="333"/>
      <c r="D884" s="333"/>
      <c r="E884" s="333"/>
      <c r="F884" s="333"/>
      <c r="G884" s="334"/>
      <c r="H884" s="331"/>
    </row>
    <row r="885">
      <c r="B885" s="333"/>
      <c r="C885" s="333"/>
      <c r="D885" s="333"/>
      <c r="E885" s="333"/>
      <c r="F885" s="333"/>
      <c r="G885" s="334"/>
      <c r="H885" s="331"/>
    </row>
    <row r="886">
      <c r="B886" s="333"/>
      <c r="C886" s="333"/>
      <c r="D886" s="333"/>
      <c r="E886" s="333"/>
      <c r="F886" s="333"/>
      <c r="G886" s="334"/>
      <c r="H886" s="331"/>
    </row>
    <row r="887">
      <c r="B887" s="333"/>
      <c r="C887" s="333"/>
      <c r="D887" s="333"/>
      <c r="E887" s="333"/>
      <c r="F887" s="333"/>
      <c r="G887" s="334"/>
      <c r="H887" s="331"/>
    </row>
    <row r="888">
      <c r="B888" s="333"/>
      <c r="C888" s="333"/>
      <c r="D888" s="333"/>
      <c r="E888" s="333"/>
      <c r="F888" s="333"/>
      <c r="G888" s="334"/>
      <c r="H888" s="331"/>
    </row>
    <row r="889">
      <c r="B889" s="333"/>
      <c r="C889" s="333"/>
      <c r="D889" s="333"/>
      <c r="E889" s="333"/>
      <c r="F889" s="333"/>
      <c r="G889" s="334"/>
      <c r="H889" s="331"/>
    </row>
    <row r="890">
      <c r="B890" s="333"/>
      <c r="C890" s="333"/>
      <c r="D890" s="333"/>
      <c r="E890" s="333"/>
      <c r="F890" s="333"/>
      <c r="G890" s="334"/>
      <c r="H890" s="331"/>
    </row>
    <row r="891">
      <c r="B891" s="333"/>
      <c r="C891" s="333"/>
      <c r="D891" s="333"/>
      <c r="E891" s="333"/>
      <c r="F891" s="333"/>
      <c r="G891" s="334"/>
      <c r="H891" s="331"/>
    </row>
    <row r="892">
      <c r="B892" s="333"/>
      <c r="C892" s="333"/>
      <c r="D892" s="333"/>
      <c r="E892" s="333"/>
      <c r="F892" s="333"/>
      <c r="G892" s="334"/>
      <c r="H892" s="331"/>
    </row>
    <row r="893">
      <c r="B893" s="333"/>
      <c r="C893" s="333"/>
      <c r="D893" s="333"/>
      <c r="E893" s="333"/>
      <c r="F893" s="333"/>
      <c r="G893" s="334"/>
      <c r="H893" s="331"/>
    </row>
    <row r="894">
      <c r="B894" s="333"/>
      <c r="C894" s="333"/>
      <c r="D894" s="333"/>
      <c r="E894" s="333"/>
      <c r="F894" s="333"/>
      <c r="G894" s="334"/>
      <c r="H894" s="331"/>
    </row>
    <row r="895">
      <c r="B895" s="333"/>
      <c r="C895" s="333"/>
      <c r="D895" s="333"/>
      <c r="E895" s="333"/>
      <c r="F895" s="333"/>
      <c r="G895" s="334"/>
      <c r="H895" s="331"/>
    </row>
    <row r="896">
      <c r="B896" s="333"/>
      <c r="C896" s="333"/>
      <c r="D896" s="333"/>
      <c r="E896" s="333"/>
      <c r="F896" s="333"/>
      <c r="G896" s="334"/>
      <c r="H896" s="331"/>
    </row>
    <row r="897">
      <c r="B897" s="333"/>
      <c r="C897" s="333"/>
      <c r="D897" s="333"/>
      <c r="E897" s="333"/>
      <c r="F897" s="333"/>
      <c r="G897" s="334"/>
      <c r="H897" s="331"/>
    </row>
    <row r="898">
      <c r="B898" s="333"/>
      <c r="C898" s="333"/>
      <c r="D898" s="333"/>
      <c r="E898" s="333"/>
      <c r="F898" s="333"/>
      <c r="G898" s="334"/>
      <c r="H898" s="331"/>
    </row>
    <row r="899">
      <c r="B899" s="333"/>
      <c r="C899" s="333"/>
      <c r="D899" s="333"/>
      <c r="E899" s="333"/>
      <c r="F899" s="333"/>
      <c r="G899" s="334"/>
      <c r="H899" s="331"/>
    </row>
    <row r="900">
      <c r="B900" s="333"/>
      <c r="C900" s="333"/>
      <c r="D900" s="333"/>
      <c r="E900" s="333"/>
      <c r="F900" s="333"/>
      <c r="G900" s="334"/>
      <c r="H900" s="331"/>
    </row>
    <row r="901">
      <c r="B901" s="333"/>
      <c r="C901" s="333"/>
      <c r="D901" s="333"/>
      <c r="E901" s="333"/>
      <c r="F901" s="333"/>
      <c r="G901" s="334"/>
      <c r="H901" s="331"/>
    </row>
    <row r="902">
      <c r="B902" s="333"/>
      <c r="C902" s="333"/>
      <c r="D902" s="333"/>
      <c r="E902" s="333"/>
      <c r="F902" s="333"/>
      <c r="G902" s="334"/>
      <c r="H902" s="331"/>
    </row>
    <row r="903">
      <c r="B903" s="333"/>
      <c r="C903" s="333"/>
      <c r="D903" s="333"/>
      <c r="E903" s="333"/>
      <c r="F903" s="333"/>
      <c r="G903" s="334"/>
      <c r="H903" s="331"/>
    </row>
    <row r="904">
      <c r="B904" s="333"/>
      <c r="C904" s="333"/>
      <c r="D904" s="333"/>
      <c r="E904" s="333"/>
      <c r="F904" s="333"/>
      <c r="G904" s="334"/>
      <c r="H904" s="331"/>
    </row>
    <row r="905">
      <c r="B905" s="333"/>
      <c r="C905" s="333"/>
      <c r="D905" s="333"/>
      <c r="E905" s="333"/>
      <c r="F905" s="333"/>
      <c r="G905" s="334"/>
      <c r="H905" s="331"/>
    </row>
    <row r="906">
      <c r="B906" s="333"/>
      <c r="C906" s="333"/>
      <c r="D906" s="333"/>
      <c r="E906" s="333"/>
      <c r="F906" s="333"/>
      <c r="G906" s="334"/>
      <c r="H906" s="331"/>
    </row>
    <row r="907">
      <c r="B907" s="333"/>
      <c r="C907" s="333"/>
      <c r="D907" s="333"/>
      <c r="E907" s="333"/>
      <c r="F907" s="333"/>
      <c r="G907" s="334"/>
      <c r="H907" s="331"/>
    </row>
    <row r="908">
      <c r="B908" s="333"/>
      <c r="C908" s="333"/>
      <c r="D908" s="333"/>
      <c r="E908" s="333"/>
      <c r="F908" s="333"/>
      <c r="G908" s="334"/>
      <c r="H908" s="331"/>
    </row>
    <row r="909">
      <c r="B909" s="333"/>
      <c r="C909" s="333"/>
      <c r="D909" s="333"/>
      <c r="E909" s="333"/>
      <c r="F909" s="333"/>
      <c r="G909" s="334"/>
      <c r="H909" s="331"/>
    </row>
    <row r="910">
      <c r="B910" s="333"/>
      <c r="C910" s="333"/>
      <c r="D910" s="333"/>
      <c r="E910" s="333"/>
      <c r="F910" s="333"/>
      <c r="G910" s="334"/>
      <c r="H910" s="331"/>
    </row>
    <row r="911">
      <c r="B911" s="333"/>
      <c r="C911" s="333"/>
      <c r="D911" s="333"/>
      <c r="E911" s="333"/>
      <c r="F911" s="333"/>
      <c r="G911" s="334"/>
      <c r="H911" s="331"/>
    </row>
    <row r="912">
      <c r="B912" s="333"/>
      <c r="C912" s="333"/>
      <c r="D912" s="333"/>
      <c r="E912" s="333"/>
      <c r="F912" s="333"/>
      <c r="G912" s="334"/>
      <c r="H912" s="331"/>
    </row>
    <row r="913">
      <c r="B913" s="333"/>
      <c r="C913" s="333"/>
      <c r="D913" s="333"/>
      <c r="E913" s="333"/>
      <c r="F913" s="333"/>
      <c r="G913" s="334"/>
      <c r="H913" s="331"/>
    </row>
    <row r="914">
      <c r="B914" s="333"/>
      <c r="C914" s="333"/>
      <c r="D914" s="333"/>
      <c r="E914" s="333"/>
      <c r="F914" s="333"/>
      <c r="G914" s="334"/>
      <c r="H914" s="331"/>
    </row>
    <row r="915">
      <c r="B915" s="333"/>
      <c r="C915" s="333"/>
      <c r="D915" s="333"/>
      <c r="E915" s="333"/>
      <c r="F915" s="333"/>
      <c r="G915" s="334"/>
      <c r="H915" s="331"/>
    </row>
    <row r="916">
      <c r="B916" s="333"/>
      <c r="C916" s="333"/>
      <c r="D916" s="333"/>
      <c r="E916" s="333"/>
      <c r="F916" s="333"/>
      <c r="G916" s="334"/>
      <c r="H916" s="331"/>
    </row>
    <row r="917">
      <c r="B917" s="333"/>
      <c r="C917" s="333"/>
      <c r="D917" s="333"/>
      <c r="E917" s="333"/>
      <c r="F917" s="333"/>
      <c r="G917" s="334"/>
      <c r="H917" s="331"/>
    </row>
    <row r="918">
      <c r="B918" s="333"/>
      <c r="C918" s="333"/>
      <c r="D918" s="333"/>
      <c r="E918" s="333"/>
      <c r="F918" s="333"/>
      <c r="G918" s="334"/>
      <c r="H918" s="331"/>
    </row>
    <row r="919">
      <c r="B919" s="333"/>
      <c r="C919" s="333"/>
      <c r="D919" s="333"/>
      <c r="E919" s="333"/>
      <c r="F919" s="333"/>
      <c r="G919" s="334"/>
      <c r="H919" s="331"/>
    </row>
    <row r="920">
      <c r="B920" s="333"/>
      <c r="C920" s="333"/>
      <c r="D920" s="333"/>
      <c r="E920" s="333"/>
      <c r="F920" s="333"/>
      <c r="G920" s="334"/>
      <c r="H920" s="331"/>
    </row>
    <row r="921">
      <c r="B921" s="333"/>
      <c r="C921" s="333"/>
      <c r="D921" s="333"/>
      <c r="E921" s="333"/>
      <c r="F921" s="333"/>
      <c r="G921" s="334"/>
      <c r="H921" s="331"/>
    </row>
    <row r="922">
      <c r="B922" s="333"/>
      <c r="C922" s="333"/>
      <c r="D922" s="333"/>
      <c r="E922" s="333"/>
      <c r="F922" s="333"/>
      <c r="G922" s="334"/>
      <c r="H922" s="331"/>
    </row>
    <row r="923">
      <c r="B923" s="333"/>
      <c r="C923" s="333"/>
      <c r="D923" s="333"/>
      <c r="E923" s="333"/>
      <c r="F923" s="333"/>
      <c r="G923" s="334"/>
      <c r="H923" s="331"/>
    </row>
    <row r="924">
      <c r="B924" s="333"/>
      <c r="C924" s="333"/>
      <c r="D924" s="333"/>
      <c r="E924" s="333"/>
      <c r="F924" s="333"/>
      <c r="G924" s="334"/>
      <c r="H924" s="331"/>
    </row>
    <row r="925">
      <c r="B925" s="333"/>
      <c r="C925" s="333"/>
      <c r="D925" s="333"/>
      <c r="E925" s="333"/>
      <c r="F925" s="333"/>
      <c r="G925" s="334"/>
      <c r="H925" s="331"/>
    </row>
    <row r="926">
      <c r="B926" s="333"/>
      <c r="C926" s="333"/>
      <c r="D926" s="333"/>
      <c r="E926" s="333"/>
      <c r="F926" s="333"/>
      <c r="G926" s="334"/>
      <c r="H926" s="331"/>
    </row>
    <row r="927">
      <c r="B927" s="333"/>
      <c r="C927" s="333"/>
      <c r="D927" s="333"/>
      <c r="E927" s="333"/>
      <c r="F927" s="333"/>
      <c r="G927" s="334"/>
      <c r="H927" s="331"/>
    </row>
    <row r="928">
      <c r="B928" s="333"/>
      <c r="C928" s="333"/>
      <c r="D928" s="333"/>
      <c r="E928" s="333"/>
      <c r="F928" s="333"/>
      <c r="G928" s="334"/>
      <c r="H928" s="331"/>
    </row>
    <row r="929">
      <c r="B929" s="333"/>
      <c r="C929" s="333"/>
      <c r="D929" s="333"/>
      <c r="E929" s="333"/>
      <c r="F929" s="333"/>
      <c r="G929" s="334"/>
      <c r="H929" s="331"/>
    </row>
    <row r="930">
      <c r="B930" s="333"/>
      <c r="C930" s="333"/>
      <c r="D930" s="333"/>
      <c r="E930" s="333"/>
      <c r="F930" s="333"/>
      <c r="G930" s="334"/>
      <c r="H930" s="331"/>
    </row>
    <row r="931">
      <c r="B931" s="333"/>
      <c r="C931" s="333"/>
      <c r="D931" s="333"/>
      <c r="E931" s="333"/>
      <c r="F931" s="333"/>
      <c r="G931" s="334"/>
      <c r="H931" s="331"/>
    </row>
    <row r="932">
      <c r="B932" s="333"/>
      <c r="C932" s="333"/>
      <c r="D932" s="333"/>
      <c r="E932" s="333"/>
      <c r="F932" s="333"/>
      <c r="G932" s="334"/>
      <c r="H932" s="331"/>
    </row>
    <row r="933">
      <c r="B933" s="333"/>
      <c r="C933" s="333"/>
      <c r="D933" s="333"/>
      <c r="E933" s="333"/>
      <c r="F933" s="333"/>
      <c r="G933" s="334"/>
      <c r="H933" s="331"/>
    </row>
    <row r="934">
      <c r="B934" s="333"/>
      <c r="C934" s="333"/>
      <c r="D934" s="333"/>
      <c r="E934" s="333"/>
      <c r="F934" s="333"/>
      <c r="G934" s="334"/>
      <c r="H934" s="331"/>
    </row>
    <row r="935">
      <c r="B935" s="333"/>
      <c r="C935" s="333"/>
      <c r="D935" s="333"/>
      <c r="E935" s="333"/>
      <c r="F935" s="333"/>
      <c r="G935" s="334"/>
      <c r="H935" s="331"/>
    </row>
    <row r="936">
      <c r="B936" s="333"/>
      <c r="C936" s="333"/>
      <c r="D936" s="333"/>
      <c r="E936" s="333"/>
      <c r="F936" s="333"/>
      <c r="G936" s="334"/>
      <c r="H936" s="331"/>
    </row>
    <row r="937">
      <c r="B937" s="333"/>
      <c r="C937" s="333"/>
      <c r="D937" s="333"/>
      <c r="E937" s="333"/>
      <c r="F937" s="333"/>
      <c r="G937" s="334"/>
      <c r="H937" s="331"/>
    </row>
    <row r="938">
      <c r="B938" s="333"/>
      <c r="C938" s="333"/>
      <c r="D938" s="333"/>
      <c r="E938" s="333"/>
      <c r="F938" s="333"/>
      <c r="G938" s="334"/>
      <c r="H938" s="331"/>
    </row>
    <row r="939">
      <c r="B939" s="333"/>
      <c r="C939" s="333"/>
      <c r="D939" s="333"/>
      <c r="E939" s="333"/>
      <c r="F939" s="333"/>
      <c r="G939" s="334"/>
      <c r="H939" s="331"/>
    </row>
    <row r="940">
      <c r="B940" s="333"/>
      <c r="C940" s="333"/>
      <c r="D940" s="333"/>
      <c r="E940" s="333"/>
      <c r="F940" s="333"/>
      <c r="G940" s="334"/>
      <c r="H940" s="331"/>
    </row>
    <row r="941">
      <c r="B941" s="333"/>
      <c r="C941" s="333"/>
      <c r="D941" s="333"/>
      <c r="E941" s="333"/>
      <c r="F941" s="333"/>
      <c r="G941" s="334"/>
      <c r="H941" s="331"/>
    </row>
    <row r="942">
      <c r="B942" s="333"/>
      <c r="C942" s="333"/>
      <c r="D942" s="333"/>
      <c r="E942" s="333"/>
      <c r="F942" s="333"/>
      <c r="G942" s="334"/>
      <c r="H942" s="331"/>
    </row>
    <row r="943">
      <c r="B943" s="333"/>
      <c r="C943" s="333"/>
      <c r="D943" s="333"/>
      <c r="E943" s="333"/>
      <c r="F943" s="333"/>
      <c r="G943" s="334"/>
      <c r="H943" s="331"/>
    </row>
    <row r="944">
      <c r="B944" s="333"/>
      <c r="C944" s="333"/>
      <c r="D944" s="333"/>
      <c r="E944" s="333"/>
      <c r="F944" s="333"/>
      <c r="G944" s="334"/>
      <c r="H944" s="331"/>
    </row>
    <row r="945">
      <c r="B945" s="333"/>
      <c r="C945" s="333"/>
      <c r="D945" s="333"/>
      <c r="E945" s="333"/>
      <c r="F945" s="333"/>
      <c r="G945" s="334"/>
      <c r="H945" s="331"/>
    </row>
    <row r="946">
      <c r="B946" s="333"/>
      <c r="C946" s="333"/>
      <c r="D946" s="333"/>
      <c r="E946" s="333"/>
      <c r="F946" s="333"/>
      <c r="G946" s="334"/>
      <c r="H946" s="331"/>
    </row>
    <row r="947">
      <c r="B947" s="333"/>
      <c r="C947" s="333"/>
      <c r="D947" s="333"/>
      <c r="E947" s="333"/>
      <c r="F947" s="333"/>
      <c r="G947" s="334"/>
      <c r="H947" s="331"/>
    </row>
    <row r="948">
      <c r="B948" s="333"/>
      <c r="C948" s="333"/>
      <c r="D948" s="333"/>
      <c r="E948" s="333"/>
      <c r="F948" s="333"/>
      <c r="G948" s="334"/>
      <c r="H948" s="331"/>
    </row>
    <row r="949">
      <c r="B949" s="333"/>
      <c r="C949" s="333"/>
      <c r="D949" s="333"/>
      <c r="E949" s="333"/>
      <c r="F949" s="333"/>
      <c r="G949" s="334"/>
      <c r="H949" s="331"/>
    </row>
    <row r="950">
      <c r="B950" s="333"/>
      <c r="C950" s="333"/>
      <c r="D950" s="333"/>
      <c r="E950" s="333"/>
      <c r="F950" s="333"/>
      <c r="G950" s="334"/>
      <c r="H950" s="331"/>
    </row>
    <row r="951">
      <c r="B951" s="333"/>
      <c r="C951" s="333"/>
      <c r="D951" s="333"/>
      <c r="E951" s="333"/>
      <c r="F951" s="333"/>
      <c r="G951" s="334"/>
      <c r="H951" s="331"/>
    </row>
    <row r="952">
      <c r="B952" s="333"/>
      <c r="C952" s="333"/>
      <c r="D952" s="333"/>
      <c r="E952" s="333"/>
      <c r="F952" s="333"/>
      <c r="G952" s="334"/>
      <c r="H952" s="331"/>
    </row>
    <row r="953">
      <c r="B953" s="333"/>
      <c r="C953" s="333"/>
      <c r="D953" s="333"/>
      <c r="E953" s="333"/>
      <c r="F953" s="333"/>
      <c r="G953" s="334"/>
      <c r="H953" s="331"/>
    </row>
    <row r="954">
      <c r="B954" s="333"/>
      <c r="C954" s="333"/>
      <c r="D954" s="333"/>
      <c r="E954" s="333"/>
      <c r="F954" s="333"/>
      <c r="G954" s="334"/>
      <c r="H954" s="331"/>
    </row>
    <row r="955">
      <c r="B955" s="333"/>
      <c r="C955" s="333"/>
      <c r="D955" s="333"/>
      <c r="E955" s="333"/>
      <c r="F955" s="333"/>
      <c r="G955" s="334"/>
      <c r="H955" s="331"/>
    </row>
    <row r="956">
      <c r="B956" s="333"/>
      <c r="C956" s="333"/>
      <c r="D956" s="333"/>
      <c r="E956" s="333"/>
      <c r="F956" s="333"/>
      <c r="G956" s="334"/>
      <c r="H956" s="331"/>
    </row>
    <row r="957">
      <c r="B957" s="333"/>
      <c r="C957" s="333"/>
      <c r="D957" s="333"/>
      <c r="E957" s="333"/>
      <c r="F957" s="333"/>
      <c r="G957" s="334"/>
      <c r="H957" s="331"/>
    </row>
    <row r="958">
      <c r="B958" s="333"/>
      <c r="C958" s="333"/>
      <c r="D958" s="333"/>
      <c r="E958" s="333"/>
      <c r="F958" s="333"/>
      <c r="G958" s="334"/>
      <c r="H958" s="331"/>
    </row>
    <row r="959">
      <c r="B959" s="333"/>
      <c r="C959" s="333"/>
      <c r="D959" s="333"/>
      <c r="E959" s="333"/>
      <c r="F959" s="333"/>
      <c r="G959" s="334"/>
      <c r="H959" s="331"/>
    </row>
    <row r="960">
      <c r="B960" s="333"/>
      <c r="C960" s="333"/>
      <c r="D960" s="333"/>
      <c r="E960" s="333"/>
      <c r="F960" s="333"/>
      <c r="G960" s="334"/>
      <c r="H960" s="331"/>
    </row>
    <row r="961">
      <c r="B961" s="333"/>
      <c r="C961" s="333"/>
      <c r="D961" s="333"/>
      <c r="E961" s="333"/>
      <c r="F961" s="333"/>
      <c r="G961" s="334"/>
      <c r="H961" s="331"/>
    </row>
    <row r="962">
      <c r="B962" s="333"/>
      <c r="C962" s="333"/>
      <c r="D962" s="333"/>
      <c r="E962" s="333"/>
      <c r="F962" s="333"/>
      <c r="G962" s="334"/>
      <c r="H962" s="331"/>
    </row>
    <row r="963">
      <c r="B963" s="333"/>
      <c r="C963" s="333"/>
      <c r="D963" s="333"/>
      <c r="E963" s="333"/>
      <c r="F963" s="333"/>
      <c r="G963" s="334"/>
      <c r="H963" s="331"/>
    </row>
    <row r="964">
      <c r="B964" s="333"/>
      <c r="C964" s="333"/>
      <c r="D964" s="333"/>
      <c r="E964" s="333"/>
      <c r="F964" s="333"/>
      <c r="G964" s="334"/>
      <c r="H964" s="331"/>
    </row>
    <row r="965">
      <c r="B965" s="333"/>
      <c r="C965" s="333"/>
      <c r="D965" s="333"/>
      <c r="E965" s="333"/>
      <c r="F965" s="333"/>
      <c r="G965" s="334"/>
      <c r="H965" s="331"/>
    </row>
    <row r="966">
      <c r="B966" s="333"/>
      <c r="C966" s="333"/>
      <c r="D966" s="333"/>
      <c r="E966" s="333"/>
      <c r="F966" s="333"/>
      <c r="G966" s="334"/>
      <c r="H966" s="331"/>
    </row>
    <row r="967">
      <c r="B967" s="333"/>
      <c r="C967" s="333"/>
      <c r="D967" s="333"/>
      <c r="E967" s="333"/>
      <c r="F967" s="333"/>
      <c r="G967" s="334"/>
      <c r="H967" s="331"/>
    </row>
    <row r="968">
      <c r="B968" s="333"/>
      <c r="C968" s="333"/>
      <c r="D968" s="333"/>
      <c r="E968" s="333"/>
      <c r="F968" s="333"/>
      <c r="G968" s="334"/>
      <c r="H968" s="331"/>
    </row>
    <row r="969">
      <c r="B969" s="333"/>
      <c r="C969" s="333"/>
      <c r="D969" s="333"/>
      <c r="E969" s="333"/>
      <c r="F969" s="333"/>
      <c r="G969" s="334"/>
      <c r="H969" s="331"/>
    </row>
    <row r="970">
      <c r="B970" s="333"/>
      <c r="C970" s="333"/>
      <c r="D970" s="333"/>
      <c r="E970" s="333"/>
      <c r="F970" s="333"/>
      <c r="G970" s="334"/>
      <c r="H970" s="331"/>
    </row>
    <row r="971">
      <c r="B971" s="333"/>
      <c r="C971" s="333"/>
      <c r="D971" s="333"/>
      <c r="E971" s="333"/>
      <c r="F971" s="333"/>
      <c r="G971" s="334"/>
      <c r="H971" s="331"/>
    </row>
    <row r="972">
      <c r="B972" s="333"/>
      <c r="C972" s="333"/>
      <c r="D972" s="333"/>
      <c r="E972" s="333"/>
      <c r="F972" s="333"/>
      <c r="G972" s="334"/>
      <c r="H972" s="331"/>
    </row>
    <row r="973">
      <c r="B973" s="333"/>
      <c r="C973" s="333"/>
      <c r="D973" s="333"/>
      <c r="E973" s="333"/>
      <c r="F973" s="333"/>
      <c r="G973" s="334"/>
      <c r="H973" s="331"/>
    </row>
    <row r="974">
      <c r="B974" s="333"/>
      <c r="C974" s="333"/>
      <c r="D974" s="333"/>
      <c r="E974" s="333"/>
      <c r="F974" s="333"/>
      <c r="G974" s="334"/>
      <c r="H974" s="331"/>
    </row>
    <row r="975">
      <c r="B975" s="333"/>
      <c r="C975" s="333"/>
      <c r="D975" s="333"/>
      <c r="E975" s="333"/>
      <c r="F975" s="333"/>
      <c r="G975" s="334"/>
      <c r="H975" s="331"/>
    </row>
    <row r="976">
      <c r="B976" s="333"/>
      <c r="C976" s="333"/>
      <c r="D976" s="333"/>
      <c r="E976" s="333"/>
      <c r="F976" s="333"/>
      <c r="G976" s="334"/>
      <c r="H976" s="331"/>
    </row>
    <row r="977">
      <c r="B977" s="333"/>
      <c r="C977" s="333"/>
      <c r="D977" s="333"/>
      <c r="E977" s="333"/>
      <c r="F977" s="333"/>
      <c r="G977" s="334"/>
      <c r="H977" s="331"/>
    </row>
    <row r="978">
      <c r="B978" s="333"/>
      <c r="C978" s="333"/>
      <c r="D978" s="333"/>
      <c r="E978" s="333"/>
      <c r="F978" s="333"/>
      <c r="G978" s="334"/>
      <c r="H978" s="331"/>
    </row>
    <row r="979">
      <c r="B979" s="333"/>
      <c r="C979" s="333"/>
      <c r="D979" s="333"/>
      <c r="E979" s="333"/>
      <c r="F979" s="333"/>
      <c r="G979" s="334"/>
      <c r="H979" s="331"/>
    </row>
    <row r="980">
      <c r="B980" s="333"/>
      <c r="C980" s="333"/>
      <c r="D980" s="333"/>
      <c r="E980" s="333"/>
      <c r="F980" s="333"/>
      <c r="G980" s="334"/>
      <c r="H980" s="331"/>
    </row>
    <row r="981">
      <c r="B981" s="333"/>
      <c r="C981" s="333"/>
      <c r="D981" s="333"/>
      <c r="E981" s="333"/>
      <c r="F981" s="333"/>
      <c r="G981" s="334"/>
      <c r="H981" s="331"/>
    </row>
    <row r="982">
      <c r="B982" s="333"/>
      <c r="C982" s="333"/>
      <c r="D982" s="333"/>
      <c r="E982" s="333"/>
      <c r="F982" s="333"/>
      <c r="G982" s="334"/>
      <c r="H982" s="331"/>
    </row>
    <row r="983">
      <c r="B983" s="333"/>
      <c r="C983" s="333"/>
      <c r="D983" s="333"/>
      <c r="E983" s="333"/>
      <c r="F983" s="333"/>
      <c r="G983" s="334"/>
      <c r="H983" s="331"/>
    </row>
    <row r="984">
      <c r="B984" s="333"/>
      <c r="C984" s="333"/>
      <c r="D984" s="333"/>
      <c r="E984" s="333"/>
      <c r="F984" s="333"/>
      <c r="G984" s="334"/>
      <c r="H984" s="331"/>
    </row>
    <row r="985">
      <c r="B985" s="333"/>
      <c r="C985" s="333"/>
      <c r="D985" s="333"/>
      <c r="E985" s="333"/>
      <c r="F985" s="333"/>
      <c r="G985" s="334"/>
      <c r="H985" s="331"/>
    </row>
    <row r="986">
      <c r="B986" s="333"/>
      <c r="C986" s="333"/>
      <c r="D986" s="333"/>
      <c r="E986" s="333"/>
      <c r="F986" s="333"/>
      <c r="G986" s="334"/>
      <c r="H986" s="331"/>
    </row>
    <row r="987">
      <c r="B987" s="333"/>
      <c r="C987" s="333"/>
      <c r="D987" s="333"/>
      <c r="E987" s="333"/>
      <c r="F987" s="333"/>
      <c r="G987" s="334"/>
      <c r="H987" s="331"/>
    </row>
    <row r="988">
      <c r="B988" s="333"/>
      <c r="C988" s="333"/>
      <c r="D988" s="333"/>
      <c r="E988" s="333"/>
      <c r="F988" s="333"/>
      <c r="G988" s="334"/>
      <c r="H988" s="331"/>
    </row>
    <row r="989">
      <c r="B989" s="333"/>
      <c r="C989" s="333"/>
      <c r="D989" s="333"/>
      <c r="E989" s="333"/>
      <c r="F989" s="333"/>
      <c r="G989" s="334"/>
      <c r="H989" s="331"/>
    </row>
    <row r="990">
      <c r="B990" s="333"/>
      <c r="C990" s="333"/>
      <c r="D990" s="333"/>
      <c r="E990" s="333"/>
      <c r="F990" s="333"/>
      <c r="G990" s="334"/>
      <c r="H990" s="331"/>
    </row>
    <row r="991">
      <c r="B991" s="333"/>
      <c r="C991" s="333"/>
      <c r="D991" s="333"/>
      <c r="E991" s="333"/>
      <c r="F991" s="333"/>
      <c r="G991" s="334"/>
      <c r="H991" s="331"/>
    </row>
    <row r="992">
      <c r="B992" s="333"/>
      <c r="C992" s="333"/>
      <c r="D992" s="333"/>
      <c r="E992" s="333"/>
      <c r="F992" s="333"/>
      <c r="G992" s="334"/>
      <c r="H992" s="331"/>
    </row>
    <row r="993">
      <c r="B993" s="333"/>
      <c r="C993" s="333"/>
      <c r="D993" s="333"/>
      <c r="E993" s="333"/>
      <c r="F993" s="333"/>
      <c r="G993" s="334"/>
      <c r="H993" s="331"/>
    </row>
    <row r="994">
      <c r="B994" s="333"/>
      <c r="C994" s="333"/>
      <c r="D994" s="333"/>
      <c r="E994" s="333"/>
      <c r="F994" s="333"/>
      <c r="G994" s="334"/>
      <c r="H994" s="331"/>
    </row>
    <row r="995">
      <c r="B995" s="333"/>
      <c r="C995" s="333"/>
      <c r="D995" s="333"/>
      <c r="E995" s="333"/>
      <c r="F995" s="333"/>
      <c r="G995" s="334"/>
      <c r="H995" s="331"/>
    </row>
    <row r="996">
      <c r="B996" s="333"/>
      <c r="C996" s="333"/>
      <c r="D996" s="333"/>
      <c r="E996" s="333"/>
      <c r="F996" s="333"/>
      <c r="G996" s="334"/>
      <c r="H996" s="331"/>
    </row>
    <row r="997">
      <c r="B997" s="333"/>
      <c r="C997" s="333"/>
      <c r="D997" s="333"/>
      <c r="E997" s="333"/>
      <c r="F997" s="333"/>
      <c r="G997" s="334"/>
      <c r="H997" s="331"/>
    </row>
    <row r="998">
      <c r="B998" s="333"/>
      <c r="C998" s="333"/>
      <c r="D998" s="333"/>
      <c r="E998" s="333"/>
      <c r="F998" s="333"/>
      <c r="G998" s="334"/>
      <c r="H998" s="331"/>
    </row>
    <row r="999">
      <c r="B999" s="333"/>
      <c r="C999" s="333"/>
      <c r="D999" s="333"/>
      <c r="E999" s="333"/>
      <c r="F999" s="333"/>
      <c r="G999" s="334"/>
      <c r="H999" s="331"/>
    </row>
    <row r="1000">
      <c r="B1000" s="333"/>
      <c r="C1000" s="333"/>
      <c r="D1000" s="333"/>
      <c r="E1000" s="333"/>
      <c r="F1000" s="333"/>
      <c r="G1000" s="334"/>
      <c r="H1000" s="331"/>
    </row>
    <row r="1001">
      <c r="B1001" s="333"/>
      <c r="C1001" s="333"/>
      <c r="D1001" s="333"/>
      <c r="E1001" s="333"/>
      <c r="F1001" s="333"/>
      <c r="G1001" s="334"/>
      <c r="H1001" s="331"/>
    </row>
    <row r="1002">
      <c r="B1002" s="333"/>
      <c r="C1002" s="333"/>
      <c r="D1002" s="333"/>
      <c r="E1002" s="333"/>
      <c r="F1002" s="333"/>
      <c r="G1002" s="334"/>
      <c r="H1002" s="331"/>
    </row>
    <row r="1003">
      <c r="B1003" s="333"/>
      <c r="C1003" s="333"/>
      <c r="D1003" s="333"/>
      <c r="E1003" s="333"/>
      <c r="F1003" s="333"/>
      <c r="G1003" s="334"/>
      <c r="H1003" s="331"/>
    </row>
    <row r="1004">
      <c r="B1004" s="333"/>
      <c r="C1004" s="333"/>
      <c r="D1004" s="333"/>
      <c r="E1004" s="333"/>
      <c r="F1004" s="333"/>
      <c r="G1004" s="334"/>
      <c r="H1004" s="331"/>
    </row>
    <row r="1005">
      <c r="B1005" s="333"/>
      <c r="C1005" s="333"/>
      <c r="D1005" s="333"/>
      <c r="E1005" s="333"/>
      <c r="F1005" s="333"/>
      <c r="G1005" s="334"/>
      <c r="H1005" s="331"/>
    </row>
    <row r="1006">
      <c r="B1006" s="333"/>
      <c r="C1006" s="333"/>
      <c r="D1006" s="333"/>
      <c r="E1006" s="333"/>
      <c r="F1006" s="333"/>
      <c r="G1006" s="334"/>
      <c r="H1006" s="331"/>
    </row>
    <row r="1007">
      <c r="B1007" s="333"/>
      <c r="C1007" s="333"/>
      <c r="D1007" s="333"/>
      <c r="E1007" s="333"/>
      <c r="F1007" s="333"/>
      <c r="G1007" s="334"/>
      <c r="H1007" s="331"/>
    </row>
    <row r="1008">
      <c r="B1008" s="333"/>
      <c r="C1008" s="333"/>
      <c r="D1008" s="333"/>
      <c r="E1008" s="333"/>
      <c r="F1008" s="333"/>
      <c r="G1008" s="334"/>
      <c r="H1008" s="331"/>
    </row>
    <row r="1009">
      <c r="B1009" s="333"/>
      <c r="C1009" s="333"/>
      <c r="D1009" s="333"/>
      <c r="E1009" s="333"/>
      <c r="F1009" s="333"/>
      <c r="G1009" s="334"/>
      <c r="H1009" s="331"/>
    </row>
    <row r="1010">
      <c r="B1010" s="333"/>
      <c r="C1010" s="333"/>
      <c r="D1010" s="333"/>
      <c r="E1010" s="333"/>
      <c r="F1010" s="333"/>
      <c r="G1010" s="334"/>
      <c r="H1010" s="331"/>
    </row>
    <row r="1011">
      <c r="B1011" s="333"/>
      <c r="C1011" s="333"/>
      <c r="D1011" s="333"/>
      <c r="E1011" s="333"/>
      <c r="F1011" s="333"/>
      <c r="G1011" s="334"/>
      <c r="H1011" s="331"/>
    </row>
    <row r="1012">
      <c r="B1012" s="333"/>
      <c r="C1012" s="333"/>
      <c r="D1012" s="333"/>
      <c r="E1012" s="333"/>
      <c r="F1012" s="333"/>
      <c r="G1012" s="334"/>
      <c r="H1012" s="331"/>
    </row>
    <row r="1013">
      <c r="B1013" s="333"/>
      <c r="C1013" s="333"/>
      <c r="D1013" s="333"/>
      <c r="E1013" s="333"/>
      <c r="F1013" s="333"/>
      <c r="G1013" s="334"/>
      <c r="H1013" s="331"/>
    </row>
    <row r="1014">
      <c r="B1014" s="333"/>
      <c r="C1014" s="333"/>
      <c r="D1014" s="333"/>
      <c r="E1014" s="333"/>
      <c r="F1014" s="333"/>
      <c r="G1014" s="334"/>
      <c r="H1014" s="331"/>
    </row>
    <row r="1015">
      <c r="B1015" s="333"/>
      <c r="C1015" s="333"/>
      <c r="D1015" s="333"/>
      <c r="E1015" s="333"/>
      <c r="F1015" s="333"/>
      <c r="G1015" s="334"/>
      <c r="H1015" s="331"/>
    </row>
    <row r="1016">
      <c r="B1016" s="333"/>
      <c r="C1016" s="333"/>
      <c r="D1016" s="333"/>
      <c r="E1016" s="333"/>
      <c r="F1016" s="333"/>
      <c r="G1016" s="334"/>
      <c r="H1016" s="331"/>
    </row>
    <row r="1017">
      <c r="B1017" s="333"/>
      <c r="C1017" s="333"/>
      <c r="D1017" s="333"/>
      <c r="E1017" s="333"/>
      <c r="F1017" s="333"/>
      <c r="G1017" s="334"/>
      <c r="H1017" s="331"/>
    </row>
    <row r="1018">
      <c r="B1018" s="333"/>
      <c r="C1018" s="333"/>
      <c r="D1018" s="333"/>
      <c r="E1018" s="333"/>
      <c r="F1018" s="333"/>
      <c r="G1018" s="334"/>
      <c r="H1018" s="331"/>
    </row>
    <row r="1019">
      <c r="B1019" s="333"/>
      <c r="C1019" s="333"/>
      <c r="D1019" s="333"/>
      <c r="E1019" s="333"/>
      <c r="F1019" s="333"/>
      <c r="G1019" s="334"/>
      <c r="H1019" s="331"/>
    </row>
    <row r="1020">
      <c r="B1020" s="333"/>
      <c r="C1020" s="333"/>
      <c r="D1020" s="333"/>
      <c r="E1020" s="333"/>
      <c r="F1020" s="333"/>
      <c r="G1020" s="334"/>
      <c r="H1020" s="331"/>
    </row>
    <row r="1021">
      <c r="B1021" s="333"/>
      <c r="C1021" s="333"/>
      <c r="D1021" s="333"/>
      <c r="E1021" s="333"/>
      <c r="F1021" s="333"/>
      <c r="G1021" s="334"/>
      <c r="H1021" s="331"/>
    </row>
    <row r="1022">
      <c r="B1022" s="333"/>
      <c r="C1022" s="333"/>
      <c r="D1022" s="333"/>
      <c r="E1022" s="333"/>
      <c r="F1022" s="333"/>
      <c r="G1022" s="334"/>
      <c r="H1022" s="331"/>
    </row>
    <row r="1023">
      <c r="B1023" s="333"/>
      <c r="C1023" s="333"/>
      <c r="D1023" s="333"/>
      <c r="E1023" s="333"/>
      <c r="F1023" s="333"/>
      <c r="G1023" s="334"/>
      <c r="H1023" s="331"/>
    </row>
    <row r="1024">
      <c r="B1024" s="333"/>
      <c r="C1024" s="333"/>
      <c r="D1024" s="333"/>
      <c r="E1024" s="333"/>
      <c r="F1024" s="333"/>
      <c r="G1024" s="334"/>
      <c r="H1024" s="331"/>
    </row>
    <row r="1025">
      <c r="B1025" s="333"/>
      <c r="C1025" s="333"/>
      <c r="D1025" s="333"/>
      <c r="E1025" s="333"/>
      <c r="F1025" s="333"/>
      <c r="G1025" s="334"/>
      <c r="H1025" s="331"/>
    </row>
    <row r="1026">
      <c r="B1026" s="333"/>
      <c r="C1026" s="333"/>
      <c r="D1026" s="333"/>
      <c r="E1026" s="333"/>
      <c r="F1026" s="333"/>
      <c r="G1026" s="334"/>
      <c r="H1026" s="331"/>
    </row>
    <row r="1027">
      <c r="B1027" s="333"/>
      <c r="C1027" s="333"/>
      <c r="D1027" s="333"/>
      <c r="E1027" s="333"/>
      <c r="F1027" s="333"/>
      <c r="G1027" s="334"/>
      <c r="H1027" s="331"/>
    </row>
    <row r="1028">
      <c r="B1028" s="333"/>
      <c r="C1028" s="333"/>
      <c r="D1028" s="333"/>
      <c r="E1028" s="333"/>
      <c r="F1028" s="333"/>
      <c r="G1028" s="334"/>
      <c r="H1028" s="331"/>
    </row>
    <row r="1029">
      <c r="B1029" s="333"/>
      <c r="C1029" s="333"/>
      <c r="D1029" s="333"/>
      <c r="E1029" s="333"/>
      <c r="F1029" s="333"/>
      <c r="G1029" s="334"/>
      <c r="H1029" s="331"/>
    </row>
    <row r="1030">
      <c r="B1030" s="333"/>
      <c r="C1030" s="333"/>
      <c r="D1030" s="333"/>
      <c r="E1030" s="333"/>
      <c r="F1030" s="333"/>
      <c r="G1030" s="334"/>
      <c r="H1030" s="331"/>
    </row>
    <row r="1031">
      <c r="B1031" s="333"/>
      <c r="C1031" s="333"/>
      <c r="D1031" s="333"/>
      <c r="E1031" s="333"/>
      <c r="F1031" s="333"/>
      <c r="G1031" s="334"/>
      <c r="H1031" s="331"/>
    </row>
    <row r="1032">
      <c r="B1032" s="333"/>
      <c r="C1032" s="333"/>
      <c r="D1032" s="333"/>
      <c r="E1032" s="333"/>
      <c r="F1032" s="333"/>
      <c r="G1032" s="334"/>
      <c r="H1032" s="331"/>
    </row>
  </sheetData>
  <mergeCells count="12">
    <mergeCell ref="G22:G26"/>
    <mergeCell ref="G28:G32"/>
    <mergeCell ref="H28:H32"/>
    <mergeCell ref="G34:G38"/>
    <mergeCell ref="G40:G44"/>
    <mergeCell ref="G3:G7"/>
    <mergeCell ref="H3:H7"/>
    <mergeCell ref="G9:G14"/>
    <mergeCell ref="H9:H14"/>
    <mergeCell ref="G16:G20"/>
    <mergeCell ref="H16:H20"/>
    <mergeCell ref="H22:H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29"/>
    <col customWidth="1" min="3" max="3" width="40.71"/>
    <col customWidth="1" min="4" max="4" width="30.43"/>
    <col customWidth="1" min="5" max="5" width="107.86"/>
    <col customWidth="1" min="6" max="6" width="52.29"/>
  </cols>
  <sheetData>
    <row r="1" ht="37.5" customHeight="1">
      <c r="B1" s="335" t="s">
        <v>2</v>
      </c>
      <c r="C1" s="335" t="s">
        <v>345</v>
      </c>
      <c r="D1" s="335" t="s">
        <v>46</v>
      </c>
      <c r="E1" s="335" t="s">
        <v>346</v>
      </c>
      <c r="F1" s="335" t="s">
        <v>23</v>
      </c>
    </row>
    <row r="2" ht="37.5" customHeight="1">
      <c r="B2" s="336">
        <v>46027.0</v>
      </c>
      <c r="C2" s="337" t="s">
        <v>347</v>
      </c>
      <c r="D2" s="337">
        <v>5.5527494E7</v>
      </c>
      <c r="E2" s="337" t="s">
        <v>348</v>
      </c>
      <c r="F2" s="337" t="s">
        <v>349</v>
      </c>
    </row>
    <row r="3" ht="37.5" customHeight="1">
      <c r="B3" s="336">
        <v>46028.0</v>
      </c>
      <c r="C3" s="337" t="s">
        <v>350</v>
      </c>
      <c r="D3" s="337">
        <v>2.6596049E7</v>
      </c>
      <c r="E3" s="337" t="s">
        <v>351</v>
      </c>
      <c r="F3" s="337" t="s">
        <v>352</v>
      </c>
    </row>
    <row r="4" ht="37.5" customHeight="1">
      <c r="B4" s="336">
        <v>46028.0</v>
      </c>
      <c r="C4" s="337" t="s">
        <v>353</v>
      </c>
      <c r="D4" s="337">
        <v>2.3172468E7</v>
      </c>
      <c r="E4" s="337" t="s">
        <v>354</v>
      </c>
      <c r="F4" s="337" t="s">
        <v>355</v>
      </c>
    </row>
    <row r="5" ht="37.5" customHeight="1">
      <c r="B5" s="336">
        <v>46036.0</v>
      </c>
      <c r="C5" s="337" t="s">
        <v>356</v>
      </c>
      <c r="D5" s="337">
        <v>5.217914E7</v>
      </c>
      <c r="E5" s="284" t="s">
        <v>357</v>
      </c>
      <c r="F5" s="337" t="s">
        <v>358</v>
      </c>
    </row>
    <row r="6" ht="37.5" customHeight="1">
      <c r="B6" s="336">
        <v>46037.0</v>
      </c>
      <c r="C6" s="337" t="s">
        <v>359</v>
      </c>
      <c r="D6" s="337"/>
      <c r="E6" s="337" t="s">
        <v>360</v>
      </c>
      <c r="F6" s="337"/>
    </row>
    <row r="7" ht="37.5" customHeight="1">
      <c r="B7" s="336">
        <v>46049.0</v>
      </c>
      <c r="C7" s="338" t="s">
        <v>361</v>
      </c>
      <c r="D7" s="338" t="s">
        <v>362</v>
      </c>
      <c r="E7" s="338" t="s">
        <v>233</v>
      </c>
      <c r="F7" s="338"/>
    </row>
    <row r="8" ht="37.5" customHeight="1">
      <c r="B8" s="336">
        <v>46049.0</v>
      </c>
      <c r="C8" s="337" t="s">
        <v>363</v>
      </c>
      <c r="D8" s="337">
        <v>2.6841088E7</v>
      </c>
      <c r="E8" s="337" t="s">
        <v>364</v>
      </c>
      <c r="F8" s="337"/>
    </row>
    <row r="9" ht="37.5" customHeight="1">
      <c r="B9" s="339">
        <v>46063.0</v>
      </c>
      <c r="C9" s="340" t="s">
        <v>365</v>
      </c>
      <c r="D9" s="340">
        <v>2.2152803E7</v>
      </c>
      <c r="E9" s="341" t="s">
        <v>366</v>
      </c>
      <c r="F9" s="340" t="s">
        <v>367</v>
      </c>
    </row>
    <row r="10" ht="37.5" customHeight="1">
      <c r="B10" s="336"/>
      <c r="C10" s="338"/>
      <c r="D10" s="338"/>
      <c r="E10" s="338"/>
      <c r="F10" s="338"/>
    </row>
    <row r="11" ht="37.5" customHeight="1">
      <c r="B11" s="336"/>
      <c r="C11" s="338"/>
      <c r="D11" s="338"/>
      <c r="E11" s="338"/>
      <c r="F11" s="338"/>
    </row>
    <row r="12" ht="37.5" customHeight="1">
      <c r="B12" s="336"/>
      <c r="C12" s="338"/>
      <c r="D12" s="338"/>
      <c r="E12" s="338"/>
      <c r="F12" s="338"/>
    </row>
    <row r="13" ht="37.5" customHeight="1">
      <c r="B13" s="336"/>
      <c r="C13" s="338"/>
      <c r="D13" s="338"/>
      <c r="E13" s="338"/>
      <c r="F13" s="338"/>
    </row>
    <row r="14" ht="37.5" customHeight="1">
      <c r="B14" s="336"/>
      <c r="C14" s="338"/>
      <c r="D14" s="338"/>
      <c r="E14" s="342"/>
      <c r="F14" s="338"/>
    </row>
    <row r="15" ht="37.5" customHeight="1">
      <c r="B15" s="336"/>
      <c r="C15" s="338"/>
      <c r="D15" s="338"/>
      <c r="E15" s="338"/>
      <c r="F15" s="338"/>
    </row>
    <row r="16" ht="37.5" customHeight="1">
      <c r="B16" s="336"/>
      <c r="C16" s="338"/>
      <c r="D16" s="338"/>
      <c r="E16" s="338"/>
      <c r="F16" s="338"/>
    </row>
    <row r="17" ht="37.5" customHeight="1">
      <c r="B17" s="336"/>
      <c r="C17" s="338"/>
      <c r="D17" s="338"/>
      <c r="E17" s="338"/>
      <c r="F17" s="338"/>
    </row>
    <row r="18" ht="37.5" customHeight="1">
      <c r="B18" s="336"/>
      <c r="C18" s="338"/>
      <c r="D18" s="338"/>
      <c r="E18" s="338"/>
      <c r="F18" s="338"/>
    </row>
    <row r="19" ht="37.5" customHeight="1">
      <c r="B19" s="336"/>
      <c r="C19" s="338"/>
      <c r="D19" s="338"/>
      <c r="E19" s="338"/>
      <c r="F19" s="338"/>
    </row>
    <row r="20" ht="37.5" customHeight="1">
      <c r="B20" s="336"/>
      <c r="C20" s="338"/>
      <c r="D20" s="338"/>
      <c r="E20" s="338"/>
      <c r="F20" s="338"/>
    </row>
    <row r="21" ht="37.5" customHeight="1">
      <c r="B21" s="336"/>
      <c r="C21" s="338"/>
      <c r="D21" s="338"/>
      <c r="E21" s="338"/>
      <c r="F21" s="338"/>
    </row>
    <row r="22" ht="37.5" customHeight="1">
      <c r="B22" s="336"/>
      <c r="C22" s="338"/>
      <c r="D22" s="338"/>
      <c r="E22" s="338"/>
      <c r="F22" s="338"/>
    </row>
    <row r="23" ht="37.5" customHeight="1">
      <c r="B23" s="336"/>
      <c r="C23" s="338"/>
      <c r="D23" s="338"/>
      <c r="E23" s="338"/>
      <c r="F23" s="338"/>
    </row>
    <row r="24" ht="37.5" customHeight="1">
      <c r="B24" s="336"/>
      <c r="C24" s="338"/>
      <c r="D24" s="338"/>
      <c r="E24" s="338"/>
      <c r="F24" s="338"/>
    </row>
    <row r="25" ht="37.5" customHeight="1">
      <c r="B25" s="336"/>
      <c r="C25" s="338"/>
      <c r="D25" s="338"/>
      <c r="E25" s="338"/>
      <c r="F25" s="338"/>
    </row>
    <row r="26" ht="37.5" customHeight="1">
      <c r="B26" s="336"/>
      <c r="C26" s="338"/>
      <c r="D26" s="338"/>
      <c r="E26" s="338"/>
      <c r="F26" s="338"/>
    </row>
    <row r="27" ht="37.5" customHeight="1">
      <c r="B27" s="336"/>
      <c r="C27" s="338"/>
      <c r="D27" s="338"/>
      <c r="E27" s="338"/>
      <c r="F27" s="338"/>
    </row>
    <row r="28" ht="37.5" customHeight="1">
      <c r="B28" s="336"/>
      <c r="C28" s="338"/>
      <c r="D28" s="338"/>
      <c r="E28" s="338"/>
      <c r="F28" s="338"/>
    </row>
    <row r="29" ht="37.5" customHeight="1">
      <c r="B29" s="336"/>
      <c r="C29" s="338"/>
      <c r="D29" s="338"/>
      <c r="E29" s="338"/>
      <c r="F29" s="338"/>
    </row>
    <row r="30" ht="37.5" customHeight="1">
      <c r="B30" s="336"/>
      <c r="C30" s="342"/>
      <c r="D30" s="338"/>
      <c r="E30" s="338"/>
      <c r="F30" s="338"/>
    </row>
    <row r="31" ht="37.5" customHeight="1">
      <c r="B31" s="336"/>
      <c r="C31" s="338"/>
      <c r="D31" s="338"/>
      <c r="E31" s="338"/>
      <c r="F31" s="338"/>
    </row>
    <row r="32" ht="37.5" customHeight="1">
      <c r="B32" s="336"/>
      <c r="C32" s="338"/>
      <c r="D32" s="338"/>
      <c r="E32" s="338"/>
      <c r="F32" s="338"/>
    </row>
    <row r="33" ht="29.25" customHeight="1">
      <c r="B33" s="336"/>
      <c r="C33" s="338"/>
      <c r="D33" s="338"/>
      <c r="E33" s="338"/>
      <c r="F33" s="343"/>
    </row>
    <row r="34" ht="24.75" customHeight="1">
      <c r="B34" s="336"/>
      <c r="C34" s="338"/>
      <c r="D34" s="338"/>
      <c r="E34" s="338"/>
      <c r="F34" s="343"/>
    </row>
    <row r="35" ht="24.75" customHeight="1">
      <c r="B35" s="336"/>
      <c r="C35" s="338"/>
      <c r="D35" s="338"/>
      <c r="E35" s="338"/>
      <c r="F35" s="343"/>
    </row>
    <row r="36" ht="24.0" customHeight="1">
      <c r="B36" s="336"/>
      <c r="C36" s="338"/>
      <c r="D36" s="338"/>
      <c r="E36" s="338"/>
      <c r="F36" s="343"/>
    </row>
    <row r="37" ht="22.5" customHeight="1">
      <c r="B37" s="336"/>
      <c r="C37" s="338"/>
      <c r="D37" s="338"/>
      <c r="E37" s="338"/>
      <c r="F37" s="343"/>
    </row>
    <row r="38" ht="22.5" customHeight="1">
      <c r="B38" s="336"/>
      <c r="C38" s="338"/>
      <c r="D38" s="338"/>
      <c r="E38" s="338"/>
      <c r="F38" s="343"/>
    </row>
    <row r="39" ht="23.25" customHeight="1">
      <c r="B39" s="336"/>
      <c r="C39" s="338"/>
      <c r="D39" s="338"/>
      <c r="E39" s="338"/>
      <c r="F39" s="343"/>
    </row>
    <row r="40" ht="28.5" customHeight="1">
      <c r="B40" s="336"/>
      <c r="C40" s="338"/>
      <c r="D40" s="338"/>
      <c r="E40" s="338"/>
      <c r="F40" s="343"/>
    </row>
    <row r="41">
      <c r="B41" s="336"/>
      <c r="C41" s="338"/>
      <c r="D41" s="338"/>
      <c r="E41" s="338"/>
      <c r="F41" s="343"/>
    </row>
    <row r="42">
      <c r="B42" s="336"/>
      <c r="C42" s="338"/>
      <c r="D42" s="338"/>
      <c r="E42" s="338"/>
      <c r="F42" s="343"/>
    </row>
    <row r="43" ht="24.75" customHeight="1">
      <c r="B43" s="336"/>
      <c r="C43" s="338"/>
      <c r="D43" s="338"/>
      <c r="E43" s="338"/>
      <c r="F43" s="343"/>
    </row>
    <row r="44">
      <c r="B44" s="336"/>
      <c r="C44" s="338"/>
      <c r="D44" s="338"/>
      <c r="E44" s="338"/>
      <c r="F44" s="343"/>
    </row>
    <row r="45" ht="21.0" customHeight="1">
      <c r="B45" s="336"/>
      <c r="C45" s="338"/>
      <c r="D45" s="338"/>
      <c r="E45" s="338"/>
      <c r="F45" s="343"/>
    </row>
    <row r="46" ht="26.25" customHeight="1">
      <c r="B46" s="336"/>
      <c r="C46" s="338"/>
      <c r="D46" s="338"/>
      <c r="E46" s="338"/>
      <c r="F46" s="343"/>
    </row>
    <row r="47">
      <c r="B47" s="336"/>
      <c r="C47" s="338"/>
      <c r="D47" s="338"/>
      <c r="E47" s="338"/>
      <c r="F47" s="343"/>
    </row>
    <row r="48">
      <c r="B48" s="336"/>
      <c r="C48" s="338"/>
      <c r="D48" s="338"/>
      <c r="E48" s="338"/>
      <c r="F48" s="343"/>
    </row>
    <row r="49">
      <c r="B49" s="336"/>
      <c r="C49" s="338"/>
      <c r="D49" s="338"/>
      <c r="E49" s="338"/>
      <c r="F49" s="343"/>
    </row>
    <row r="50">
      <c r="B50" s="336"/>
      <c r="C50" s="338"/>
      <c r="D50" s="338"/>
      <c r="E50" s="338"/>
      <c r="F50" s="343"/>
    </row>
    <row r="51">
      <c r="B51" s="336"/>
      <c r="C51" s="338"/>
      <c r="D51" s="338"/>
      <c r="E51" s="338"/>
      <c r="F51" s="343"/>
    </row>
    <row r="52">
      <c r="B52" s="336"/>
      <c r="C52" s="338"/>
      <c r="D52" s="338"/>
      <c r="E52" s="338"/>
      <c r="F52" s="343"/>
    </row>
    <row r="53">
      <c r="B53" s="336"/>
      <c r="C53" s="338"/>
      <c r="D53" s="338"/>
      <c r="E53" s="338"/>
      <c r="F53" s="343"/>
    </row>
    <row r="54">
      <c r="B54" s="336"/>
      <c r="C54" s="338"/>
      <c r="D54" s="338"/>
      <c r="E54" s="338"/>
      <c r="F54" s="343"/>
    </row>
    <row r="55">
      <c r="B55" s="336"/>
      <c r="C55" s="338"/>
      <c r="D55" s="338"/>
      <c r="E55" s="338"/>
      <c r="F55" s="343"/>
    </row>
    <row r="56">
      <c r="B56" s="336"/>
      <c r="C56" s="338"/>
      <c r="D56" s="338"/>
      <c r="E56" s="338"/>
      <c r="F56" s="338"/>
    </row>
    <row r="57">
      <c r="B57" s="336"/>
      <c r="C57" s="338"/>
      <c r="D57" s="338"/>
      <c r="E57" s="338"/>
      <c r="F57" s="343"/>
    </row>
    <row r="58">
      <c r="B58" s="336"/>
      <c r="C58" s="338"/>
      <c r="D58" s="338"/>
      <c r="E58" s="338"/>
      <c r="F58" s="343"/>
    </row>
    <row r="59">
      <c r="B59" s="336"/>
      <c r="C59" s="338"/>
      <c r="D59" s="338"/>
      <c r="E59" s="338"/>
      <c r="F59" s="343"/>
    </row>
    <row r="60">
      <c r="B60" s="336"/>
      <c r="C60" s="338"/>
      <c r="D60" s="338"/>
      <c r="E60" s="338"/>
      <c r="F60" s="343"/>
    </row>
    <row r="61">
      <c r="B61" s="336"/>
      <c r="C61" s="338"/>
      <c r="D61" s="338"/>
      <c r="E61" s="338"/>
      <c r="F61" s="343"/>
    </row>
    <row r="62">
      <c r="B62" s="336"/>
      <c r="C62" s="338"/>
      <c r="D62" s="338"/>
      <c r="E62" s="338"/>
      <c r="F62" s="343"/>
    </row>
    <row r="63">
      <c r="B63" s="336"/>
      <c r="C63" s="338"/>
      <c r="D63" s="338"/>
      <c r="E63" s="338"/>
      <c r="F63" s="343"/>
    </row>
    <row r="64">
      <c r="B64" s="336"/>
      <c r="C64" s="338"/>
      <c r="D64" s="338"/>
      <c r="E64" s="338"/>
      <c r="F64" s="343"/>
    </row>
    <row r="65">
      <c r="B65" s="336"/>
      <c r="C65" s="344"/>
      <c r="D65" s="344"/>
      <c r="E65" s="344"/>
      <c r="F65" s="344"/>
    </row>
    <row r="66">
      <c r="B66" s="336"/>
      <c r="C66" s="344"/>
      <c r="D66" s="344"/>
      <c r="E66" s="344"/>
      <c r="F66" s="344"/>
    </row>
    <row r="67">
      <c r="B67" s="336"/>
      <c r="C67" s="344"/>
      <c r="D67" s="344"/>
      <c r="E67" s="344"/>
      <c r="F67" s="344"/>
    </row>
    <row r="68">
      <c r="B68" s="336"/>
      <c r="C68" s="344"/>
      <c r="D68" s="344"/>
      <c r="E68" s="344"/>
      <c r="F68" s="344"/>
    </row>
    <row r="69" ht="18.75" customHeight="1">
      <c r="B69" s="336"/>
      <c r="C69" s="344"/>
      <c r="D69" s="344"/>
      <c r="E69" s="344"/>
      <c r="F69" s="344"/>
    </row>
    <row r="70">
      <c r="B70" s="336"/>
      <c r="C70" s="344"/>
      <c r="D70" s="344"/>
      <c r="E70" s="344"/>
      <c r="F70" s="344"/>
    </row>
    <row r="71">
      <c r="B71" s="336"/>
      <c r="C71" s="344"/>
      <c r="D71" s="344"/>
      <c r="E71" s="344"/>
      <c r="F71" s="344"/>
    </row>
    <row r="72">
      <c r="B72" s="336"/>
      <c r="C72" s="344"/>
      <c r="D72" s="344"/>
      <c r="E72" s="344"/>
      <c r="F72" s="344"/>
    </row>
    <row r="78">
      <c r="D78" s="9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45" t="s">
        <v>368</v>
      </c>
    </row>
    <row r="3">
      <c r="A3" s="346" t="s">
        <v>369</v>
      </c>
      <c r="B3" s="146"/>
      <c r="C3" s="147"/>
      <c r="D3" s="346" t="s">
        <v>370</v>
      </c>
      <c r="E3" s="146"/>
      <c r="F3" s="147"/>
      <c r="G3" s="346" t="s">
        <v>371</v>
      </c>
      <c r="H3" s="146"/>
      <c r="I3" s="147"/>
      <c r="J3" s="346" t="s">
        <v>372</v>
      </c>
      <c r="K3" s="146"/>
      <c r="L3" s="147"/>
      <c r="M3" s="346" t="s">
        <v>373</v>
      </c>
      <c r="N3" s="146"/>
      <c r="O3" s="147"/>
      <c r="P3" s="346" t="s">
        <v>115</v>
      </c>
      <c r="Q3" s="146"/>
      <c r="R3" s="147"/>
    </row>
    <row r="4" ht="34.5" customHeight="1">
      <c r="A4" s="347" t="s">
        <v>374</v>
      </c>
      <c r="B4" s="146"/>
      <c r="C4" s="147"/>
      <c r="D4" s="347" t="s">
        <v>375</v>
      </c>
      <c r="E4" s="146"/>
      <c r="F4" s="147"/>
      <c r="G4" s="347">
        <v>92.0</v>
      </c>
      <c r="H4" s="146"/>
      <c r="I4" s="147"/>
      <c r="J4" s="348">
        <v>120.0</v>
      </c>
      <c r="K4" s="146"/>
      <c r="L4" s="147"/>
      <c r="M4" s="347">
        <v>0.0</v>
      </c>
      <c r="N4" s="146"/>
      <c r="O4" s="147"/>
      <c r="P4" s="347" t="s">
        <v>376</v>
      </c>
      <c r="Q4" s="146"/>
      <c r="R4" s="147"/>
    </row>
    <row r="5" ht="26.25" customHeight="1">
      <c r="A5" s="347" t="s">
        <v>377</v>
      </c>
      <c r="B5" s="146"/>
      <c r="C5" s="147"/>
      <c r="D5" s="347" t="s">
        <v>375</v>
      </c>
      <c r="E5" s="146"/>
      <c r="F5" s="147"/>
      <c r="G5" s="347"/>
      <c r="H5" s="146"/>
      <c r="I5" s="147"/>
      <c r="J5" s="348">
        <v>170.0</v>
      </c>
      <c r="K5" s="146"/>
      <c r="L5" s="147"/>
      <c r="M5" s="347">
        <v>0.0</v>
      </c>
      <c r="N5" s="146"/>
      <c r="O5" s="147"/>
      <c r="P5" s="347" t="s">
        <v>376</v>
      </c>
      <c r="Q5" s="146"/>
      <c r="R5" s="147"/>
    </row>
    <row r="6" ht="27.75" customHeight="1">
      <c r="A6" s="347" t="s">
        <v>378</v>
      </c>
      <c r="B6" s="146"/>
      <c r="C6" s="147"/>
      <c r="D6" s="347" t="s">
        <v>375</v>
      </c>
      <c r="E6" s="146"/>
      <c r="F6" s="147"/>
      <c r="G6" s="347"/>
      <c r="H6" s="146"/>
      <c r="I6" s="147"/>
      <c r="J6" s="348">
        <v>190.0</v>
      </c>
      <c r="K6" s="146"/>
      <c r="L6" s="147"/>
      <c r="M6" s="347">
        <v>0.0</v>
      </c>
      <c r="N6" s="146"/>
      <c r="O6" s="147"/>
      <c r="P6" s="347" t="s">
        <v>376</v>
      </c>
      <c r="Q6" s="146"/>
      <c r="R6" s="147"/>
    </row>
    <row r="7" ht="28.5" customHeight="1">
      <c r="A7" s="347" t="s">
        <v>379</v>
      </c>
      <c r="B7" s="146"/>
      <c r="C7" s="147"/>
      <c r="D7" s="347" t="s">
        <v>380</v>
      </c>
      <c r="E7" s="146"/>
      <c r="F7" s="147"/>
      <c r="G7" s="347">
        <v>28.0</v>
      </c>
      <c r="H7" s="146"/>
      <c r="I7" s="147"/>
      <c r="J7" s="349">
        <v>55.0</v>
      </c>
      <c r="K7" s="146"/>
      <c r="L7" s="147"/>
      <c r="M7" s="347">
        <v>12.0</v>
      </c>
      <c r="N7" s="146"/>
      <c r="O7" s="147"/>
      <c r="P7" s="347" t="s">
        <v>376</v>
      </c>
      <c r="Q7" s="146"/>
      <c r="R7" s="147"/>
    </row>
    <row r="8" ht="30.0" customHeight="1">
      <c r="A8" s="347" t="s">
        <v>381</v>
      </c>
      <c r="B8" s="146"/>
      <c r="C8" s="147"/>
      <c r="D8" s="347" t="s">
        <v>380</v>
      </c>
      <c r="E8" s="146"/>
      <c r="F8" s="147"/>
      <c r="G8" s="347">
        <v>36.0</v>
      </c>
      <c r="H8" s="146"/>
      <c r="I8" s="147"/>
      <c r="J8" s="349">
        <v>60.0</v>
      </c>
      <c r="K8" s="146"/>
      <c r="L8" s="147"/>
      <c r="M8" s="347">
        <v>7.0</v>
      </c>
      <c r="N8" s="146"/>
      <c r="O8" s="147"/>
      <c r="P8" s="347" t="s">
        <v>376</v>
      </c>
      <c r="Q8" s="146"/>
      <c r="R8" s="147"/>
    </row>
    <row r="9" ht="27.0" customHeight="1">
      <c r="A9" s="347" t="s">
        <v>374</v>
      </c>
      <c r="B9" s="146"/>
      <c r="C9" s="147"/>
      <c r="D9" s="347" t="s">
        <v>380</v>
      </c>
      <c r="E9" s="146"/>
      <c r="F9" s="147"/>
      <c r="G9" s="347">
        <v>22.0</v>
      </c>
      <c r="H9" s="146"/>
      <c r="I9" s="147"/>
      <c r="J9" s="349">
        <v>40.0</v>
      </c>
      <c r="K9" s="146"/>
      <c r="L9" s="147"/>
      <c r="M9" s="347">
        <v>8.0</v>
      </c>
      <c r="N9" s="146"/>
      <c r="O9" s="147"/>
      <c r="P9" s="347" t="s">
        <v>376</v>
      </c>
      <c r="Q9" s="146"/>
      <c r="R9" s="147"/>
    </row>
    <row r="10" ht="26.25" customHeight="1">
      <c r="A10" s="347" t="s">
        <v>382</v>
      </c>
      <c r="B10" s="146"/>
      <c r="C10" s="147"/>
      <c r="D10" s="347" t="s">
        <v>375</v>
      </c>
      <c r="E10" s="146"/>
      <c r="F10" s="147"/>
      <c r="G10" s="347">
        <v>75.0</v>
      </c>
      <c r="H10" s="146"/>
      <c r="I10" s="147"/>
      <c r="J10" s="349">
        <v>95.0</v>
      </c>
      <c r="K10" s="146"/>
      <c r="L10" s="147"/>
      <c r="M10" s="347">
        <v>0.0</v>
      </c>
      <c r="N10" s="146"/>
      <c r="O10" s="147"/>
      <c r="P10" s="347" t="s">
        <v>170</v>
      </c>
      <c r="Q10" s="146"/>
      <c r="R10" s="147"/>
    </row>
    <row r="11" ht="25.5" customHeight="1">
      <c r="A11" s="347" t="s">
        <v>383</v>
      </c>
      <c r="B11" s="146"/>
      <c r="C11" s="147"/>
      <c r="D11" s="347" t="s">
        <v>375</v>
      </c>
      <c r="E11" s="146"/>
      <c r="F11" s="147"/>
      <c r="G11" s="347">
        <v>120.0</v>
      </c>
      <c r="H11" s="146"/>
      <c r="I11" s="147"/>
      <c r="J11" s="349">
        <v>145.0</v>
      </c>
      <c r="K11" s="146"/>
      <c r="L11" s="147"/>
      <c r="M11" s="347">
        <v>0.0</v>
      </c>
      <c r="N11" s="146"/>
      <c r="O11" s="147"/>
      <c r="P11" s="347" t="s">
        <v>170</v>
      </c>
      <c r="Q11" s="146"/>
      <c r="R11" s="147"/>
    </row>
    <row r="12" ht="27.0" customHeight="1">
      <c r="A12" s="347" t="s">
        <v>384</v>
      </c>
      <c r="B12" s="146"/>
      <c r="C12" s="147"/>
      <c r="D12" s="347" t="s">
        <v>375</v>
      </c>
      <c r="E12" s="146"/>
      <c r="F12" s="147"/>
      <c r="G12" s="347">
        <v>190.0</v>
      </c>
      <c r="H12" s="146"/>
      <c r="I12" s="147"/>
      <c r="J12" s="349">
        <v>230.0</v>
      </c>
      <c r="K12" s="146"/>
      <c r="L12" s="147"/>
      <c r="M12" s="347"/>
      <c r="N12" s="146"/>
      <c r="O12" s="147"/>
      <c r="P12" s="347" t="s">
        <v>170</v>
      </c>
      <c r="Q12" s="146"/>
      <c r="R12" s="147"/>
    </row>
    <row r="13" ht="26.25" customHeight="1">
      <c r="A13" s="347" t="s">
        <v>385</v>
      </c>
      <c r="B13" s="146"/>
      <c r="C13" s="147"/>
      <c r="D13" s="347"/>
      <c r="E13" s="146"/>
      <c r="F13" s="147"/>
      <c r="G13" s="347"/>
      <c r="H13" s="146"/>
      <c r="I13" s="147"/>
      <c r="J13" s="349"/>
      <c r="K13" s="146"/>
      <c r="L13" s="147"/>
      <c r="M13" s="347"/>
      <c r="N13" s="146"/>
      <c r="O13" s="147"/>
      <c r="P13" s="347"/>
      <c r="Q13" s="146"/>
      <c r="R13" s="147"/>
    </row>
    <row r="14" ht="30.0" customHeight="1">
      <c r="A14" s="347" t="s">
        <v>386</v>
      </c>
      <c r="B14" s="146"/>
      <c r="C14" s="147"/>
      <c r="D14" s="347"/>
      <c r="E14" s="146"/>
      <c r="F14" s="147"/>
      <c r="G14" s="347"/>
      <c r="H14" s="146"/>
      <c r="I14" s="147"/>
      <c r="J14" s="349"/>
      <c r="K14" s="146"/>
      <c r="L14" s="147"/>
      <c r="M14" s="347"/>
      <c r="N14" s="146"/>
      <c r="O14" s="147"/>
      <c r="P14" s="347"/>
      <c r="Q14" s="146"/>
      <c r="R14" s="147"/>
    </row>
    <row r="15" ht="23.25" customHeight="1">
      <c r="A15" s="347"/>
      <c r="B15" s="146"/>
      <c r="C15" s="147"/>
      <c r="D15" s="347"/>
      <c r="E15" s="146"/>
      <c r="F15" s="147"/>
      <c r="G15" s="347"/>
      <c r="H15" s="146"/>
      <c r="I15" s="147"/>
      <c r="J15" s="349"/>
      <c r="K15" s="146"/>
      <c r="L15" s="147"/>
      <c r="M15" s="347"/>
      <c r="N15" s="146"/>
      <c r="O15" s="147"/>
      <c r="P15" s="347"/>
      <c r="Q15" s="146"/>
      <c r="R15" s="147"/>
    </row>
    <row r="16" ht="25.5" customHeight="1">
      <c r="A16" s="347"/>
      <c r="B16" s="146"/>
      <c r="C16" s="147"/>
      <c r="D16" s="347"/>
      <c r="E16" s="146"/>
      <c r="F16" s="147"/>
      <c r="G16" s="347"/>
      <c r="H16" s="146"/>
      <c r="I16" s="147"/>
      <c r="J16" s="349"/>
      <c r="K16" s="146"/>
      <c r="L16" s="147"/>
      <c r="M16" s="347"/>
      <c r="N16" s="146"/>
      <c r="O16" s="147"/>
      <c r="P16" s="347"/>
      <c r="Q16" s="146"/>
      <c r="R16" s="147"/>
    </row>
    <row r="17" ht="25.5" customHeight="1">
      <c r="A17" s="347"/>
      <c r="B17" s="146"/>
      <c r="C17" s="147"/>
      <c r="D17" s="347"/>
      <c r="E17" s="146"/>
      <c r="F17" s="147"/>
      <c r="G17" s="347"/>
      <c r="H17" s="146"/>
      <c r="I17" s="147"/>
      <c r="J17" s="349"/>
      <c r="K17" s="146"/>
      <c r="L17" s="147"/>
      <c r="M17" s="347"/>
      <c r="N17" s="146"/>
      <c r="O17" s="147"/>
      <c r="P17" s="347"/>
      <c r="Q17" s="146"/>
      <c r="R17" s="147"/>
    </row>
    <row r="30">
      <c r="H30" s="96">
        <v>95.0</v>
      </c>
    </row>
    <row r="31">
      <c r="H31" s="96">
        <v>30.0</v>
      </c>
    </row>
    <row r="32">
      <c r="H32" s="96">
        <v>30.0</v>
      </c>
    </row>
  </sheetData>
  <mergeCells count="91">
    <mergeCell ref="J10:L10"/>
    <mergeCell ref="M10:O10"/>
    <mergeCell ref="J11:L11"/>
    <mergeCell ref="M11:O11"/>
    <mergeCell ref="P11:R11"/>
    <mergeCell ref="J12:L12"/>
    <mergeCell ref="M12:O12"/>
    <mergeCell ref="P12:R12"/>
    <mergeCell ref="D10:F10"/>
    <mergeCell ref="G10:I10"/>
    <mergeCell ref="A11:C11"/>
    <mergeCell ref="D11:F11"/>
    <mergeCell ref="G11:I11"/>
    <mergeCell ref="D12:F12"/>
    <mergeCell ref="G12:I12"/>
    <mergeCell ref="D15:F15"/>
    <mergeCell ref="G15:I15"/>
    <mergeCell ref="A16:C16"/>
    <mergeCell ref="D16:F16"/>
    <mergeCell ref="G16:I16"/>
    <mergeCell ref="A17:C17"/>
    <mergeCell ref="D17:F17"/>
    <mergeCell ref="G17:I17"/>
    <mergeCell ref="J15:L15"/>
    <mergeCell ref="M15:O15"/>
    <mergeCell ref="J16:L16"/>
    <mergeCell ref="M16:O16"/>
    <mergeCell ref="P16:R16"/>
    <mergeCell ref="J17:L17"/>
    <mergeCell ref="M17:O17"/>
    <mergeCell ref="P17:R17"/>
    <mergeCell ref="A14:C14"/>
    <mergeCell ref="D14:F14"/>
    <mergeCell ref="G14:I14"/>
    <mergeCell ref="J14:L14"/>
    <mergeCell ref="M14:O14"/>
    <mergeCell ref="P14:R14"/>
    <mergeCell ref="A15:C15"/>
    <mergeCell ref="P15:R15"/>
    <mergeCell ref="A1:R2"/>
    <mergeCell ref="A3:C3"/>
    <mergeCell ref="D3:F3"/>
    <mergeCell ref="G3:I3"/>
    <mergeCell ref="J3:L3"/>
    <mergeCell ref="M3:O3"/>
    <mergeCell ref="P3:R3"/>
    <mergeCell ref="J5:L5"/>
    <mergeCell ref="M5:O5"/>
    <mergeCell ref="J6:L6"/>
    <mergeCell ref="M6:O6"/>
    <mergeCell ref="P6:R6"/>
    <mergeCell ref="J7:L7"/>
    <mergeCell ref="M7:O7"/>
    <mergeCell ref="P7:R7"/>
    <mergeCell ref="A4:C4"/>
    <mergeCell ref="D4:F4"/>
    <mergeCell ref="G4:I4"/>
    <mergeCell ref="J4:L4"/>
    <mergeCell ref="M4:O4"/>
    <mergeCell ref="P4:R4"/>
    <mergeCell ref="A5:C5"/>
    <mergeCell ref="P5:R5"/>
    <mergeCell ref="A7:C7"/>
    <mergeCell ref="A8:C8"/>
    <mergeCell ref="D8:F8"/>
    <mergeCell ref="G8:I8"/>
    <mergeCell ref="J8:L8"/>
    <mergeCell ref="M8:O8"/>
    <mergeCell ref="P8:R8"/>
    <mergeCell ref="D5:F5"/>
    <mergeCell ref="G5:I5"/>
    <mergeCell ref="A6:C6"/>
    <mergeCell ref="D6:F6"/>
    <mergeCell ref="G6:I6"/>
    <mergeCell ref="D7:F7"/>
    <mergeCell ref="G7:I7"/>
    <mergeCell ref="A9:C9"/>
    <mergeCell ref="D9:F9"/>
    <mergeCell ref="G9:I9"/>
    <mergeCell ref="J9:L9"/>
    <mergeCell ref="M9:O9"/>
    <mergeCell ref="P9:R9"/>
    <mergeCell ref="A10:C10"/>
    <mergeCell ref="P10:R10"/>
    <mergeCell ref="A12:C12"/>
    <mergeCell ref="A13:C13"/>
    <mergeCell ref="D13:F13"/>
    <mergeCell ref="G13:I13"/>
    <mergeCell ref="J13:L13"/>
    <mergeCell ref="M13:O13"/>
    <mergeCell ref="P13:R13"/>
  </mergeCells>
  <dataValidations>
    <dataValidation type="list" allowBlank="1" showErrorMessage="1" sqref="P4:P14">
      <formula1>"BEN JOMAA,WANES"</formula1>
    </dataValidation>
    <dataValidation type="list" allowBlank="1" showErrorMessage="1" sqref="D4:D14">
      <formula1>"5L,1L"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29"/>
    <col customWidth="1" min="3" max="3" width="40.71"/>
    <col customWidth="1" min="4" max="4" width="30.43"/>
    <col customWidth="1" min="5" max="5" width="107.86"/>
    <col customWidth="1" min="6" max="6" width="24.14"/>
    <col customWidth="1" min="15" max="15" width="34.57"/>
    <col customWidth="1" min="19" max="19" width="33.86"/>
  </cols>
  <sheetData>
    <row r="1">
      <c r="A1" s="96"/>
    </row>
    <row r="4" ht="37.5" customHeight="1">
      <c r="B4" s="335" t="s">
        <v>2</v>
      </c>
      <c r="C4" s="335" t="s">
        <v>387</v>
      </c>
      <c r="D4" s="335" t="s">
        <v>46</v>
      </c>
      <c r="E4" s="335" t="s">
        <v>346</v>
      </c>
      <c r="F4" s="335" t="s">
        <v>23</v>
      </c>
      <c r="K4" s="350" t="s">
        <v>388</v>
      </c>
      <c r="U4" s="351"/>
      <c r="V4" s="351"/>
      <c r="W4" s="351"/>
      <c r="X4" s="351"/>
      <c r="Y4" s="351"/>
      <c r="Z4" s="351"/>
      <c r="AA4" s="351"/>
      <c r="AB4" s="351"/>
      <c r="AC4" s="351"/>
      <c r="AD4" s="351"/>
      <c r="AE4" s="350"/>
    </row>
    <row r="5" ht="37.5" customHeight="1">
      <c r="B5" s="352">
        <v>46038.0</v>
      </c>
      <c r="C5" s="353" t="s">
        <v>389</v>
      </c>
      <c r="D5" s="353">
        <v>2.6765653E7</v>
      </c>
      <c r="E5" s="264" t="s">
        <v>390</v>
      </c>
      <c r="F5" s="353" t="s">
        <v>151</v>
      </c>
      <c r="K5" s="354" t="s">
        <v>391</v>
      </c>
      <c r="L5" s="355"/>
      <c r="M5" s="355"/>
      <c r="N5" s="355"/>
      <c r="O5" s="356"/>
      <c r="P5" s="354" t="s">
        <v>392</v>
      </c>
      <c r="Q5" s="355"/>
      <c r="R5" s="355"/>
      <c r="S5" s="355"/>
      <c r="T5" s="356"/>
      <c r="Y5" s="357"/>
    </row>
    <row r="6" ht="37.5" customHeight="1">
      <c r="B6" s="358"/>
      <c r="C6" s="337"/>
      <c r="D6" s="337"/>
      <c r="E6" s="337"/>
      <c r="F6" s="337"/>
      <c r="K6" s="359"/>
      <c r="L6" s="360"/>
      <c r="M6" s="360"/>
      <c r="N6" s="360"/>
      <c r="O6" s="314"/>
      <c r="P6" s="359"/>
      <c r="Q6" s="360"/>
      <c r="R6" s="360"/>
      <c r="S6" s="360"/>
      <c r="T6" s="314"/>
    </row>
    <row r="7" ht="37.5" customHeight="1">
      <c r="B7" s="336"/>
      <c r="C7" s="337"/>
      <c r="D7" s="337"/>
      <c r="E7" s="337"/>
      <c r="F7" s="337"/>
      <c r="K7" s="361" t="s">
        <v>393</v>
      </c>
      <c r="L7" s="18"/>
      <c r="M7" s="19"/>
      <c r="N7" s="361" t="s">
        <v>394</v>
      </c>
      <c r="O7" s="19"/>
      <c r="P7" s="361" t="s">
        <v>393</v>
      </c>
      <c r="Q7" s="18"/>
      <c r="R7" s="19"/>
      <c r="S7" s="361" t="s">
        <v>394</v>
      </c>
      <c r="T7" s="19"/>
    </row>
    <row r="8" ht="37.5" customHeight="1">
      <c r="B8" s="362"/>
      <c r="C8" s="337"/>
      <c r="D8" s="337"/>
      <c r="E8" s="337"/>
      <c r="F8" s="337"/>
      <c r="H8" s="363" t="s">
        <v>395</v>
      </c>
      <c r="I8" s="146"/>
      <c r="J8" s="147"/>
      <c r="K8" s="364" t="s">
        <v>396</v>
      </c>
      <c r="L8" s="146"/>
      <c r="M8" s="147"/>
      <c r="N8" s="363">
        <v>100.0</v>
      </c>
      <c r="O8" s="147"/>
      <c r="P8" s="364" t="s">
        <v>396</v>
      </c>
      <c r="Q8" s="146"/>
      <c r="R8" s="147"/>
      <c r="S8" s="363">
        <v>70.0</v>
      </c>
      <c r="T8" s="147"/>
      <c r="V8" s="96"/>
    </row>
    <row r="9" ht="37.5" customHeight="1">
      <c r="B9" s="365"/>
      <c r="C9" s="337"/>
      <c r="D9" s="337"/>
      <c r="E9" s="284"/>
      <c r="F9" s="337"/>
      <c r="H9" s="366"/>
      <c r="I9" s="363" t="s">
        <v>397</v>
      </c>
      <c r="J9" s="147"/>
      <c r="K9" s="364" t="s">
        <v>398</v>
      </c>
      <c r="L9" s="146"/>
      <c r="M9" s="147"/>
      <c r="N9" s="363">
        <v>60.0</v>
      </c>
      <c r="O9" s="147"/>
      <c r="P9" s="364" t="s">
        <v>398</v>
      </c>
      <c r="Q9" s="146"/>
      <c r="R9" s="147"/>
      <c r="S9" s="363">
        <v>50.0</v>
      </c>
      <c r="T9" s="147"/>
      <c r="V9" s="96"/>
    </row>
    <row r="10" ht="37.5" customHeight="1">
      <c r="B10" s="336"/>
      <c r="C10" s="337"/>
      <c r="D10" s="337"/>
      <c r="E10" s="337"/>
      <c r="F10" s="337"/>
      <c r="H10" s="367"/>
      <c r="I10" s="363" t="s">
        <v>399</v>
      </c>
      <c r="J10" s="147"/>
      <c r="K10" s="364" t="s">
        <v>400</v>
      </c>
      <c r="L10" s="146"/>
      <c r="M10" s="147"/>
      <c r="N10" s="363">
        <v>50.0</v>
      </c>
      <c r="O10" s="147"/>
      <c r="P10" s="364" t="s">
        <v>401</v>
      </c>
      <c r="Q10" s="146"/>
      <c r="R10" s="147"/>
      <c r="S10" s="363">
        <v>40.0</v>
      </c>
      <c r="T10" s="147"/>
      <c r="V10" s="96"/>
      <c r="W10" s="96"/>
    </row>
    <row r="11" ht="37.5" customHeight="1">
      <c r="B11" s="337"/>
      <c r="C11" s="337"/>
      <c r="D11" s="337"/>
      <c r="E11" s="337"/>
      <c r="F11" s="337"/>
      <c r="H11" s="368"/>
      <c r="I11" s="363" t="s">
        <v>402</v>
      </c>
      <c r="J11" s="147"/>
      <c r="K11" s="364" t="s">
        <v>403</v>
      </c>
      <c r="L11" s="146"/>
      <c r="M11" s="147"/>
      <c r="N11" s="363">
        <v>70.0</v>
      </c>
      <c r="O11" s="147"/>
      <c r="P11" s="364" t="s">
        <v>403</v>
      </c>
      <c r="Q11" s="146"/>
      <c r="R11" s="147"/>
      <c r="S11" s="363">
        <v>40.0</v>
      </c>
      <c r="T11" s="147"/>
      <c r="V11" s="96"/>
      <c r="W11" s="96"/>
    </row>
    <row r="12" ht="37.5" customHeight="1">
      <c r="B12" s="337"/>
      <c r="C12" s="337"/>
      <c r="D12" s="337"/>
      <c r="E12" s="337"/>
      <c r="F12" s="337"/>
      <c r="H12" s="369"/>
      <c r="I12" s="363" t="s">
        <v>404</v>
      </c>
      <c r="J12" s="147"/>
      <c r="K12" s="364" t="s">
        <v>405</v>
      </c>
      <c r="L12" s="146"/>
      <c r="M12" s="147"/>
      <c r="N12" s="363">
        <v>50.0</v>
      </c>
      <c r="O12" s="147"/>
      <c r="P12" s="364" t="s">
        <v>405</v>
      </c>
      <c r="Q12" s="146"/>
      <c r="R12" s="147"/>
      <c r="S12" s="363">
        <v>40.0</v>
      </c>
      <c r="T12" s="147"/>
      <c r="V12" s="96"/>
      <c r="W12" s="96"/>
    </row>
    <row r="13" ht="37.5" customHeight="1">
      <c r="B13" s="337"/>
      <c r="C13" s="337"/>
      <c r="D13" s="337"/>
      <c r="E13" s="337"/>
      <c r="F13" s="337"/>
      <c r="K13" s="364" t="s">
        <v>406</v>
      </c>
      <c r="L13" s="146"/>
      <c r="M13" s="147"/>
      <c r="N13" s="363">
        <v>50.0</v>
      </c>
      <c r="O13" s="147"/>
      <c r="P13" s="364" t="s">
        <v>406</v>
      </c>
      <c r="Q13" s="146"/>
      <c r="R13" s="147"/>
      <c r="S13" s="363">
        <v>40.0</v>
      </c>
      <c r="T13" s="147"/>
      <c r="V13" s="96"/>
      <c r="W13" s="96"/>
    </row>
    <row r="14" ht="37.5" customHeight="1">
      <c r="B14" s="337"/>
      <c r="C14" s="337"/>
      <c r="D14" s="337"/>
      <c r="E14" s="337"/>
      <c r="F14" s="337"/>
      <c r="K14" s="364" t="s">
        <v>407</v>
      </c>
      <c r="L14" s="146"/>
      <c r="M14" s="147"/>
      <c r="N14" s="363">
        <v>50.0</v>
      </c>
      <c r="O14" s="147"/>
      <c r="P14" s="364" t="s">
        <v>407</v>
      </c>
      <c r="Q14" s="146"/>
      <c r="R14" s="147"/>
      <c r="S14" s="363">
        <v>40.0</v>
      </c>
      <c r="T14" s="147"/>
      <c r="V14" s="96"/>
      <c r="W14" s="96"/>
    </row>
    <row r="15" ht="37.5" customHeight="1">
      <c r="B15" s="337"/>
      <c r="C15" s="337"/>
      <c r="D15" s="337"/>
      <c r="E15" s="337"/>
      <c r="F15" s="337"/>
      <c r="K15" s="364" t="s">
        <v>408</v>
      </c>
      <c r="L15" s="146"/>
      <c r="M15" s="147"/>
      <c r="N15" s="363">
        <v>50.0</v>
      </c>
      <c r="O15" s="147"/>
      <c r="P15" s="364" t="s">
        <v>408</v>
      </c>
      <c r="Q15" s="146"/>
      <c r="R15" s="147"/>
      <c r="S15" s="363">
        <v>40.0</v>
      </c>
      <c r="T15" s="147"/>
      <c r="V15" s="96"/>
    </row>
    <row r="16" ht="37.5" customHeight="1">
      <c r="B16" s="337"/>
      <c r="C16" s="337"/>
      <c r="D16" s="337"/>
      <c r="E16" s="337"/>
      <c r="F16" s="337"/>
      <c r="K16" s="364" t="s">
        <v>409</v>
      </c>
      <c r="L16" s="146"/>
      <c r="M16" s="147"/>
      <c r="N16" s="363">
        <v>50.0</v>
      </c>
      <c r="O16" s="147"/>
      <c r="P16" s="364" t="s">
        <v>409</v>
      </c>
      <c r="Q16" s="146"/>
      <c r="R16" s="147"/>
      <c r="S16" s="363">
        <v>40.0</v>
      </c>
      <c r="T16" s="147"/>
      <c r="V16" s="96"/>
    </row>
    <row r="17" ht="37.5" customHeight="1">
      <c r="B17" s="337"/>
      <c r="C17" s="337"/>
      <c r="D17" s="337"/>
      <c r="E17" s="284"/>
      <c r="F17" s="337"/>
      <c r="K17" s="364" t="s">
        <v>410</v>
      </c>
      <c r="L17" s="146"/>
      <c r="M17" s="147"/>
      <c r="N17" s="363">
        <v>60.0</v>
      </c>
      <c r="O17" s="147"/>
      <c r="P17" s="364" t="s">
        <v>410</v>
      </c>
      <c r="Q17" s="146"/>
      <c r="R17" s="147"/>
      <c r="S17" s="363">
        <v>50.0</v>
      </c>
      <c r="T17" s="147"/>
    </row>
    <row r="18" ht="37.5" customHeight="1">
      <c r="B18" s="337"/>
      <c r="C18" s="337"/>
      <c r="D18" s="337"/>
      <c r="E18" s="337"/>
      <c r="F18" s="337"/>
      <c r="K18" s="370" t="s">
        <v>411</v>
      </c>
      <c r="L18" s="146"/>
      <c r="M18" s="147"/>
      <c r="N18" s="363">
        <v>300.0</v>
      </c>
      <c r="O18" s="147"/>
      <c r="P18" s="370" t="s">
        <v>411</v>
      </c>
      <c r="Q18" s="146"/>
      <c r="R18" s="147"/>
      <c r="S18" s="363">
        <v>180.0</v>
      </c>
      <c r="T18" s="147"/>
    </row>
    <row r="19" ht="37.5" customHeight="1">
      <c r="B19" s="337"/>
      <c r="C19" s="337"/>
      <c r="D19" s="337"/>
      <c r="E19" s="337"/>
      <c r="F19" s="337"/>
      <c r="H19" s="96"/>
      <c r="K19" s="370" t="s">
        <v>412</v>
      </c>
      <c r="L19" s="146"/>
      <c r="M19" s="147"/>
      <c r="N19" s="363">
        <v>500.0</v>
      </c>
      <c r="O19" s="147"/>
      <c r="P19" s="370" t="s">
        <v>412</v>
      </c>
      <c r="Q19" s="146"/>
      <c r="R19" s="147"/>
      <c r="S19" s="363">
        <v>180.0</v>
      </c>
      <c r="T19" s="147"/>
    </row>
    <row r="20" ht="37.5" customHeight="1">
      <c r="B20" s="337"/>
      <c r="C20" s="337"/>
      <c r="D20" s="337"/>
      <c r="E20" s="337"/>
      <c r="F20" s="337"/>
      <c r="H20" s="96"/>
      <c r="K20" s="370" t="s">
        <v>413</v>
      </c>
      <c r="L20" s="146"/>
      <c r="M20" s="147"/>
      <c r="N20" s="363">
        <v>300.0</v>
      </c>
      <c r="O20" s="147"/>
      <c r="P20" s="370" t="s">
        <v>413</v>
      </c>
      <c r="Q20" s="146"/>
      <c r="R20" s="147"/>
      <c r="S20" s="363">
        <v>180.0</v>
      </c>
      <c r="T20" s="147"/>
      <c r="V20" s="96"/>
    </row>
    <row r="21" ht="37.5" customHeight="1">
      <c r="B21" s="338"/>
      <c r="C21" s="338"/>
      <c r="D21" s="338"/>
      <c r="E21" s="338"/>
      <c r="F21" s="338"/>
      <c r="H21" s="96"/>
      <c r="K21" s="370" t="s">
        <v>414</v>
      </c>
      <c r="L21" s="146"/>
      <c r="M21" s="147"/>
      <c r="N21" s="363">
        <v>50.0</v>
      </c>
      <c r="O21" s="147"/>
      <c r="P21" s="370" t="s">
        <v>414</v>
      </c>
      <c r="Q21" s="146"/>
      <c r="R21" s="147"/>
      <c r="S21" s="363">
        <v>40.0</v>
      </c>
      <c r="T21" s="147"/>
      <c r="V21" s="96"/>
    </row>
    <row r="22" ht="37.5" customHeight="1">
      <c r="B22" s="338"/>
      <c r="C22" s="338"/>
      <c r="D22" s="338"/>
      <c r="E22" s="338"/>
      <c r="F22" s="338"/>
      <c r="K22" s="370" t="s">
        <v>415</v>
      </c>
      <c r="L22" s="146"/>
      <c r="M22" s="147"/>
      <c r="N22" s="363">
        <v>50.0</v>
      </c>
      <c r="O22" s="147"/>
      <c r="P22" s="370" t="s">
        <v>415</v>
      </c>
      <c r="Q22" s="146"/>
      <c r="R22" s="147"/>
      <c r="S22" s="363">
        <v>40.0</v>
      </c>
      <c r="T22" s="147"/>
    </row>
    <row r="23" ht="37.5" customHeight="1">
      <c r="B23" s="338"/>
      <c r="C23" s="338"/>
      <c r="D23" s="338"/>
      <c r="E23" s="338"/>
      <c r="F23" s="338"/>
      <c r="K23" s="371" t="s">
        <v>416</v>
      </c>
      <c r="L23" s="146"/>
      <c r="M23" s="147"/>
      <c r="N23" s="363">
        <v>500.0</v>
      </c>
      <c r="O23" s="147"/>
      <c r="P23" s="371" t="s">
        <v>416</v>
      </c>
      <c r="Q23" s="146"/>
      <c r="R23" s="147"/>
      <c r="S23" s="363">
        <v>300.0</v>
      </c>
      <c r="T23" s="147"/>
    </row>
    <row r="24" ht="37.5" customHeight="1">
      <c r="B24" s="338"/>
      <c r="C24" s="338"/>
      <c r="D24" s="338"/>
      <c r="E24" s="338"/>
      <c r="F24" s="338"/>
      <c r="K24" s="371" t="s">
        <v>417</v>
      </c>
      <c r="L24" s="146"/>
      <c r="M24" s="147"/>
      <c r="N24" s="363">
        <v>500.0</v>
      </c>
      <c r="O24" s="147"/>
      <c r="P24" s="371" t="s">
        <v>417</v>
      </c>
      <c r="Q24" s="146"/>
      <c r="R24" s="147"/>
      <c r="S24" s="363">
        <v>300.0</v>
      </c>
      <c r="T24" s="147"/>
    </row>
    <row r="25" ht="37.5" customHeight="1">
      <c r="B25" s="338"/>
      <c r="C25" s="338"/>
      <c r="D25" s="338"/>
      <c r="E25" s="338"/>
      <c r="F25" s="338"/>
      <c r="K25" s="371" t="s">
        <v>418</v>
      </c>
      <c r="L25" s="146"/>
      <c r="M25" s="147"/>
      <c r="N25" s="363">
        <v>500.0</v>
      </c>
      <c r="O25" s="147"/>
      <c r="P25" s="371" t="s">
        <v>418</v>
      </c>
      <c r="Q25" s="146"/>
      <c r="R25" s="147"/>
      <c r="S25" s="363">
        <v>300.0</v>
      </c>
      <c r="T25" s="147"/>
    </row>
    <row r="26" ht="37.5" customHeight="1">
      <c r="B26" s="338"/>
      <c r="C26" s="338"/>
      <c r="D26" s="338"/>
      <c r="E26" s="338"/>
      <c r="F26" s="338"/>
      <c r="K26" s="371" t="s">
        <v>419</v>
      </c>
      <c r="L26" s="146"/>
      <c r="M26" s="147"/>
      <c r="N26" s="363">
        <v>500.0</v>
      </c>
      <c r="O26" s="147"/>
      <c r="P26" s="371" t="s">
        <v>419</v>
      </c>
      <c r="Q26" s="146"/>
      <c r="R26" s="147"/>
      <c r="S26" s="363">
        <v>300.0</v>
      </c>
      <c r="T26" s="147"/>
    </row>
    <row r="27" ht="37.5" customHeight="1">
      <c r="B27" s="338"/>
      <c r="C27" s="338"/>
      <c r="D27" s="338"/>
      <c r="E27" s="338"/>
      <c r="F27" s="338"/>
      <c r="K27" s="371" t="s">
        <v>420</v>
      </c>
      <c r="L27" s="146"/>
      <c r="M27" s="147"/>
      <c r="N27" s="363">
        <v>50.0</v>
      </c>
      <c r="O27" s="147"/>
      <c r="P27" s="371" t="s">
        <v>420</v>
      </c>
      <c r="Q27" s="146"/>
      <c r="R27" s="147"/>
      <c r="S27" s="363">
        <v>40.0</v>
      </c>
      <c r="T27" s="147"/>
    </row>
    <row r="28" ht="37.5" customHeight="1">
      <c r="B28" s="338"/>
      <c r="C28" s="338"/>
      <c r="D28" s="338"/>
      <c r="E28" s="338"/>
      <c r="F28" s="338"/>
      <c r="K28" s="372" t="s">
        <v>421</v>
      </c>
      <c r="L28" s="146"/>
      <c r="M28" s="147"/>
      <c r="N28" s="363">
        <v>80.0</v>
      </c>
      <c r="O28" s="147"/>
      <c r="P28" s="372" t="s">
        <v>422</v>
      </c>
      <c r="Q28" s="146"/>
      <c r="R28" s="147"/>
      <c r="S28" s="363">
        <v>50.0</v>
      </c>
      <c r="T28" s="147"/>
    </row>
    <row r="29" ht="37.5" customHeight="1">
      <c r="B29" s="338"/>
      <c r="C29" s="338"/>
      <c r="D29" s="338"/>
      <c r="E29" s="338"/>
      <c r="F29" s="338"/>
      <c r="K29" s="372" t="s">
        <v>423</v>
      </c>
      <c r="L29" s="146"/>
      <c r="M29" s="147"/>
      <c r="N29" s="363">
        <v>50.0</v>
      </c>
      <c r="O29" s="147"/>
      <c r="P29" s="372" t="s">
        <v>423</v>
      </c>
      <c r="Q29" s="146"/>
      <c r="R29" s="147"/>
      <c r="S29" s="363">
        <v>40.0</v>
      </c>
      <c r="T29" s="147"/>
    </row>
    <row r="30" ht="37.5" customHeight="1">
      <c r="B30" s="338"/>
      <c r="C30" s="338"/>
      <c r="D30" s="338"/>
      <c r="E30" s="338"/>
      <c r="F30" s="338"/>
      <c r="K30" s="372" t="s">
        <v>424</v>
      </c>
      <c r="L30" s="146"/>
      <c r="M30" s="147"/>
      <c r="N30" s="363">
        <v>50.0</v>
      </c>
      <c r="O30" s="147"/>
      <c r="P30" s="372" t="s">
        <v>424</v>
      </c>
      <c r="Q30" s="146"/>
      <c r="R30" s="147"/>
      <c r="S30" s="363">
        <v>40.0</v>
      </c>
      <c r="T30" s="147"/>
    </row>
    <row r="31" ht="37.5" customHeight="1">
      <c r="B31" s="338"/>
      <c r="C31" s="338"/>
      <c r="D31" s="338"/>
      <c r="E31" s="338"/>
      <c r="F31" s="338"/>
      <c r="K31" s="372" t="s">
        <v>425</v>
      </c>
      <c r="L31" s="146"/>
      <c r="M31" s="147"/>
      <c r="N31" s="347" t="s">
        <v>426</v>
      </c>
      <c r="O31" s="147"/>
      <c r="P31" s="372" t="s">
        <v>425</v>
      </c>
      <c r="Q31" s="146"/>
      <c r="R31" s="147"/>
      <c r="S31" s="347" t="s">
        <v>426</v>
      </c>
      <c r="T31" s="147"/>
      <c r="X31" s="96" t="s">
        <v>87</v>
      </c>
    </row>
    <row r="32" ht="37.5" customHeight="1">
      <c r="B32" s="338"/>
      <c r="C32" s="338"/>
      <c r="D32" s="338"/>
      <c r="E32" s="338"/>
      <c r="F32" s="338"/>
      <c r="K32" s="372" t="s">
        <v>427</v>
      </c>
      <c r="L32" s="146"/>
      <c r="M32" s="147"/>
      <c r="N32" s="347" t="s">
        <v>426</v>
      </c>
      <c r="O32" s="147"/>
      <c r="P32" s="372" t="s">
        <v>427</v>
      </c>
      <c r="Q32" s="146"/>
      <c r="R32" s="147"/>
      <c r="S32" s="347" t="s">
        <v>426</v>
      </c>
      <c r="T32" s="147"/>
    </row>
    <row r="33" ht="37.5" customHeight="1">
      <c r="B33" s="338"/>
      <c r="C33" s="338"/>
      <c r="D33" s="338"/>
      <c r="E33" s="338"/>
      <c r="F33" s="338"/>
      <c r="K33" s="372" t="s">
        <v>428</v>
      </c>
      <c r="L33" s="146"/>
      <c r="M33" s="147"/>
      <c r="N33" s="347" t="s">
        <v>426</v>
      </c>
      <c r="O33" s="147"/>
      <c r="P33" s="372" t="s">
        <v>428</v>
      </c>
      <c r="Q33" s="146"/>
      <c r="R33" s="147"/>
      <c r="S33" s="347" t="s">
        <v>426</v>
      </c>
      <c r="T33" s="147"/>
    </row>
    <row r="34" ht="37.5" customHeight="1">
      <c r="B34" s="338"/>
      <c r="C34" s="338"/>
      <c r="D34" s="338"/>
      <c r="E34" s="338"/>
      <c r="F34" s="338"/>
      <c r="K34" s="372" t="s">
        <v>429</v>
      </c>
      <c r="L34" s="146"/>
      <c r="M34" s="147"/>
      <c r="N34" s="347" t="s">
        <v>426</v>
      </c>
      <c r="O34" s="147"/>
      <c r="P34" s="372" t="s">
        <v>429</v>
      </c>
      <c r="Q34" s="146"/>
      <c r="R34" s="147"/>
      <c r="S34" s="347" t="s">
        <v>426</v>
      </c>
      <c r="T34" s="147"/>
    </row>
    <row r="35" ht="37.5" customHeight="1">
      <c r="B35" s="338"/>
      <c r="C35" s="338"/>
      <c r="D35" s="338"/>
      <c r="E35" s="338"/>
      <c r="F35" s="338"/>
      <c r="K35" s="372" t="s">
        <v>430</v>
      </c>
      <c r="L35" s="146"/>
      <c r="M35" s="147"/>
      <c r="N35" s="363">
        <v>300.0</v>
      </c>
      <c r="O35" s="147"/>
      <c r="P35" s="372" t="s">
        <v>430</v>
      </c>
      <c r="Q35" s="146"/>
      <c r="R35" s="147"/>
      <c r="S35" s="363" t="s">
        <v>431</v>
      </c>
      <c r="T35" s="147"/>
    </row>
    <row r="36" ht="37.5" customHeight="1">
      <c r="B36" s="343"/>
      <c r="C36" s="343"/>
      <c r="D36" s="343"/>
      <c r="E36" s="343"/>
      <c r="F36" s="343"/>
      <c r="K36" s="372" t="s">
        <v>432</v>
      </c>
      <c r="L36" s="146"/>
      <c r="M36" s="147"/>
      <c r="N36" s="363" t="s">
        <v>433</v>
      </c>
      <c r="O36" s="147"/>
      <c r="P36" s="372" t="s">
        <v>432</v>
      </c>
      <c r="Q36" s="146"/>
      <c r="R36" s="147"/>
      <c r="S36" s="363" t="s">
        <v>433</v>
      </c>
      <c r="T36" s="147"/>
    </row>
    <row r="37" ht="25.5" customHeight="1">
      <c r="K37" s="372" t="s">
        <v>434</v>
      </c>
      <c r="L37" s="146"/>
      <c r="M37" s="147"/>
      <c r="N37" s="363" t="s">
        <v>433</v>
      </c>
      <c r="O37" s="147"/>
      <c r="P37" s="372" t="s">
        <v>434</v>
      </c>
      <c r="Q37" s="146"/>
      <c r="R37" s="147"/>
      <c r="S37" s="363" t="s">
        <v>435</v>
      </c>
      <c r="T37" s="147"/>
    </row>
    <row r="38" ht="27.75" customHeight="1">
      <c r="K38" s="372" t="s">
        <v>436</v>
      </c>
      <c r="L38" s="146"/>
      <c r="M38" s="147"/>
      <c r="N38" s="363" t="s">
        <v>433</v>
      </c>
      <c r="O38" s="147"/>
      <c r="P38" s="372" t="s">
        <v>436</v>
      </c>
      <c r="Q38" s="146"/>
      <c r="R38" s="147"/>
      <c r="S38" s="347" t="s">
        <v>437</v>
      </c>
      <c r="T38" s="147"/>
    </row>
    <row r="39" ht="24.75" customHeight="1">
      <c r="K39" s="372" t="s">
        <v>438</v>
      </c>
      <c r="L39" s="146"/>
      <c r="M39" s="147"/>
      <c r="N39" s="363">
        <v>100.0</v>
      </c>
      <c r="O39" s="147"/>
      <c r="P39" s="372" t="s">
        <v>438</v>
      </c>
      <c r="Q39" s="146"/>
      <c r="R39" s="147"/>
      <c r="S39" s="363">
        <v>70.0</v>
      </c>
      <c r="T39" s="147"/>
    </row>
    <row r="40" ht="25.5" customHeight="1">
      <c r="K40" s="372" t="s">
        <v>439</v>
      </c>
      <c r="L40" s="146"/>
      <c r="M40" s="147"/>
      <c r="N40" s="363"/>
      <c r="O40" s="147"/>
      <c r="P40" s="372" t="s">
        <v>439</v>
      </c>
      <c r="Q40" s="146"/>
      <c r="R40" s="147"/>
      <c r="S40" s="363">
        <v>70.0</v>
      </c>
      <c r="T40" s="147"/>
    </row>
    <row r="41">
      <c r="K41" s="372" t="s">
        <v>440</v>
      </c>
      <c r="L41" s="146"/>
      <c r="M41" s="147"/>
      <c r="N41" s="363"/>
      <c r="O41" s="147"/>
      <c r="P41" s="372" t="s">
        <v>440</v>
      </c>
      <c r="Q41" s="146"/>
      <c r="R41" s="147"/>
      <c r="S41" s="363">
        <v>80.0</v>
      </c>
      <c r="T41" s="147"/>
    </row>
    <row r="42">
      <c r="K42" s="372" t="s">
        <v>441</v>
      </c>
      <c r="L42" s="146"/>
      <c r="M42" s="147"/>
      <c r="N42" s="363"/>
      <c r="O42" s="147"/>
      <c r="P42" s="372" t="s">
        <v>441</v>
      </c>
      <c r="Q42" s="146"/>
      <c r="R42" s="147"/>
      <c r="S42" s="363">
        <v>80.0</v>
      </c>
      <c r="T42" s="147"/>
    </row>
    <row r="43">
      <c r="K43" s="372" t="s">
        <v>442</v>
      </c>
      <c r="L43" s="146"/>
      <c r="M43" s="147"/>
      <c r="N43" s="363"/>
      <c r="O43" s="147"/>
      <c r="P43" s="372" t="s">
        <v>442</v>
      </c>
      <c r="Q43" s="146"/>
      <c r="R43" s="147"/>
      <c r="S43" s="363">
        <v>120.0</v>
      </c>
      <c r="T43" s="147"/>
    </row>
    <row r="44">
      <c r="K44" s="372" t="s">
        <v>443</v>
      </c>
      <c r="L44" s="146"/>
      <c r="M44" s="147"/>
      <c r="N44" s="363"/>
      <c r="O44" s="147"/>
      <c r="P44" s="372" t="s">
        <v>443</v>
      </c>
      <c r="Q44" s="146"/>
      <c r="R44" s="147"/>
      <c r="S44" s="363">
        <v>100.0</v>
      </c>
      <c r="T44" s="147"/>
    </row>
    <row r="45">
      <c r="K45" s="372" t="s">
        <v>444</v>
      </c>
      <c r="L45" s="146"/>
      <c r="M45" s="147"/>
      <c r="N45" s="363"/>
      <c r="O45" s="147"/>
      <c r="P45" s="372" t="s">
        <v>444</v>
      </c>
      <c r="Q45" s="146"/>
      <c r="R45" s="147"/>
      <c r="S45" s="363">
        <v>402.0</v>
      </c>
      <c r="T45" s="147"/>
    </row>
    <row r="46">
      <c r="K46" s="370" t="s">
        <v>445</v>
      </c>
      <c r="L46" s="146"/>
      <c r="M46" s="147"/>
      <c r="N46" s="363"/>
      <c r="O46" s="147"/>
      <c r="P46" s="370" t="s">
        <v>445</v>
      </c>
      <c r="Q46" s="146"/>
      <c r="R46" s="147"/>
      <c r="S46" s="363">
        <v>40.0</v>
      </c>
      <c r="T46" s="147"/>
    </row>
    <row r="47">
      <c r="K47" s="363" t="s">
        <v>446</v>
      </c>
      <c r="L47" s="146"/>
      <c r="M47" s="147"/>
      <c r="N47" s="363"/>
      <c r="O47" s="147"/>
      <c r="P47" s="363" t="s">
        <v>446</v>
      </c>
      <c r="Q47" s="146"/>
      <c r="R47" s="147"/>
      <c r="S47" s="363">
        <v>70.0</v>
      </c>
      <c r="T47" s="147"/>
    </row>
    <row r="48">
      <c r="K48" s="363"/>
      <c r="L48" s="146"/>
      <c r="M48" s="147"/>
      <c r="N48" s="363"/>
      <c r="O48" s="147"/>
      <c r="P48" s="363"/>
      <c r="Q48" s="146"/>
      <c r="R48" s="147"/>
      <c r="S48" s="363"/>
      <c r="T48" s="147"/>
    </row>
    <row r="49">
      <c r="K49" s="363"/>
      <c r="L49" s="146"/>
      <c r="M49" s="147"/>
      <c r="N49" s="363"/>
      <c r="O49" s="147"/>
      <c r="P49" s="363"/>
      <c r="Q49" s="146"/>
      <c r="R49" s="147"/>
      <c r="S49" s="363"/>
      <c r="T49" s="147"/>
    </row>
    <row r="50">
      <c r="K50" s="363"/>
      <c r="L50" s="146"/>
      <c r="M50" s="147"/>
      <c r="N50" s="363"/>
      <c r="O50" s="147"/>
      <c r="P50" s="363"/>
      <c r="Q50" s="146"/>
      <c r="R50" s="147"/>
      <c r="S50" s="363"/>
      <c r="T50" s="147"/>
    </row>
    <row r="51">
      <c r="K51" s="363"/>
      <c r="L51" s="146"/>
      <c r="M51" s="147"/>
      <c r="N51" s="363"/>
      <c r="O51" s="147"/>
      <c r="P51" s="363"/>
      <c r="Q51" s="146"/>
      <c r="R51" s="147"/>
      <c r="S51" s="363"/>
      <c r="T51" s="147"/>
    </row>
    <row r="52">
      <c r="K52" s="363"/>
      <c r="L52" s="146"/>
      <c r="M52" s="147"/>
      <c r="N52" s="363"/>
      <c r="O52" s="147"/>
      <c r="P52" s="363"/>
      <c r="Q52" s="146"/>
      <c r="R52" s="147"/>
      <c r="S52" s="363"/>
      <c r="T52" s="147"/>
    </row>
    <row r="53">
      <c r="K53" s="363"/>
      <c r="L53" s="146"/>
      <c r="M53" s="147"/>
      <c r="N53" s="363"/>
      <c r="O53" s="147"/>
      <c r="P53" s="363"/>
      <c r="Q53" s="146"/>
      <c r="R53" s="147"/>
      <c r="S53" s="363"/>
      <c r="T53" s="147"/>
    </row>
    <row r="54">
      <c r="K54" s="363"/>
      <c r="L54" s="146"/>
      <c r="M54" s="147"/>
      <c r="N54" s="363"/>
      <c r="O54" s="147"/>
      <c r="P54" s="363"/>
      <c r="Q54" s="146"/>
      <c r="R54" s="147"/>
      <c r="S54" s="363"/>
      <c r="T54" s="147"/>
    </row>
  </sheetData>
  <mergeCells count="200">
    <mergeCell ref="K34:M34"/>
    <mergeCell ref="N34:O34"/>
    <mergeCell ref="P34:R34"/>
    <mergeCell ref="S34:T34"/>
    <mergeCell ref="N35:O35"/>
    <mergeCell ref="P35:R35"/>
    <mergeCell ref="S35:T35"/>
    <mergeCell ref="K35:M35"/>
    <mergeCell ref="K36:M36"/>
    <mergeCell ref="N36:O36"/>
    <mergeCell ref="P36:R36"/>
    <mergeCell ref="S36:T36"/>
    <mergeCell ref="K37:M37"/>
    <mergeCell ref="N37:O37"/>
    <mergeCell ref="K42:M42"/>
    <mergeCell ref="N42:O42"/>
    <mergeCell ref="P42:R42"/>
    <mergeCell ref="S42:T42"/>
    <mergeCell ref="N43:O43"/>
    <mergeCell ref="P43:R43"/>
    <mergeCell ref="S43:T43"/>
    <mergeCell ref="K43:M43"/>
    <mergeCell ref="K44:M44"/>
    <mergeCell ref="N44:O44"/>
    <mergeCell ref="P44:R44"/>
    <mergeCell ref="S44:T44"/>
    <mergeCell ref="K45:M45"/>
    <mergeCell ref="N45:O45"/>
    <mergeCell ref="N47:O47"/>
    <mergeCell ref="P47:R47"/>
    <mergeCell ref="P45:R45"/>
    <mergeCell ref="S45:T45"/>
    <mergeCell ref="K46:M46"/>
    <mergeCell ref="N46:O46"/>
    <mergeCell ref="P46:R46"/>
    <mergeCell ref="S46:T46"/>
    <mergeCell ref="S47:T47"/>
    <mergeCell ref="P49:R49"/>
    <mergeCell ref="S49:T49"/>
    <mergeCell ref="K47:M47"/>
    <mergeCell ref="K48:M48"/>
    <mergeCell ref="N48:O48"/>
    <mergeCell ref="P48:R48"/>
    <mergeCell ref="S48:T48"/>
    <mergeCell ref="K49:M49"/>
    <mergeCell ref="N49:O49"/>
    <mergeCell ref="K50:M50"/>
    <mergeCell ref="N50:O50"/>
    <mergeCell ref="P50:R50"/>
    <mergeCell ref="S50:T50"/>
    <mergeCell ref="N51:O51"/>
    <mergeCell ref="P51:R51"/>
    <mergeCell ref="S51:T51"/>
    <mergeCell ref="K51:M51"/>
    <mergeCell ref="K52:M52"/>
    <mergeCell ref="N52:O52"/>
    <mergeCell ref="P52:R52"/>
    <mergeCell ref="S52:T52"/>
    <mergeCell ref="K53:M53"/>
    <mergeCell ref="N53:O53"/>
    <mergeCell ref="K14:M14"/>
    <mergeCell ref="N14:O14"/>
    <mergeCell ref="P14:R14"/>
    <mergeCell ref="S14:T14"/>
    <mergeCell ref="N15:O15"/>
    <mergeCell ref="P15:R15"/>
    <mergeCell ref="S15:T15"/>
    <mergeCell ref="K15:M15"/>
    <mergeCell ref="K16:M16"/>
    <mergeCell ref="N16:O16"/>
    <mergeCell ref="P16:R16"/>
    <mergeCell ref="S16:T16"/>
    <mergeCell ref="K17:M17"/>
    <mergeCell ref="N17:O17"/>
    <mergeCell ref="K18:M18"/>
    <mergeCell ref="N18:O18"/>
    <mergeCell ref="P18:R18"/>
    <mergeCell ref="S18:T18"/>
    <mergeCell ref="N19:O19"/>
    <mergeCell ref="P19:R19"/>
    <mergeCell ref="S19:T19"/>
    <mergeCell ref="P21:R21"/>
    <mergeCell ref="S21:T21"/>
    <mergeCell ref="K19:M19"/>
    <mergeCell ref="K20:M20"/>
    <mergeCell ref="N20:O20"/>
    <mergeCell ref="P20:R20"/>
    <mergeCell ref="S20:T20"/>
    <mergeCell ref="K21:M21"/>
    <mergeCell ref="N21:O21"/>
    <mergeCell ref="P25:R25"/>
    <mergeCell ref="S25:T25"/>
    <mergeCell ref="P53:R53"/>
    <mergeCell ref="S53:T53"/>
    <mergeCell ref="K54:M54"/>
    <mergeCell ref="N54:O54"/>
    <mergeCell ref="P54:R54"/>
    <mergeCell ref="S54:T54"/>
    <mergeCell ref="K4:T4"/>
    <mergeCell ref="K5:O6"/>
    <mergeCell ref="P5:T6"/>
    <mergeCell ref="K7:M7"/>
    <mergeCell ref="N7:O7"/>
    <mergeCell ref="P7:R7"/>
    <mergeCell ref="S7:T7"/>
    <mergeCell ref="N9:O9"/>
    <mergeCell ref="P9:R9"/>
    <mergeCell ref="P10:R10"/>
    <mergeCell ref="S10:T10"/>
    <mergeCell ref="P11:R11"/>
    <mergeCell ref="S11:T11"/>
    <mergeCell ref="H8:J8"/>
    <mergeCell ref="K8:M8"/>
    <mergeCell ref="N8:O8"/>
    <mergeCell ref="P8:R8"/>
    <mergeCell ref="S8:T8"/>
    <mergeCell ref="K9:M9"/>
    <mergeCell ref="S9:T9"/>
    <mergeCell ref="I9:J9"/>
    <mergeCell ref="I10:J10"/>
    <mergeCell ref="K10:M10"/>
    <mergeCell ref="N10:O10"/>
    <mergeCell ref="I11:J11"/>
    <mergeCell ref="K11:M11"/>
    <mergeCell ref="N11:O11"/>
    <mergeCell ref="P13:R13"/>
    <mergeCell ref="S13:T13"/>
    <mergeCell ref="I12:J12"/>
    <mergeCell ref="K12:M12"/>
    <mergeCell ref="N12:O12"/>
    <mergeCell ref="P12:R12"/>
    <mergeCell ref="S12:T12"/>
    <mergeCell ref="K13:M13"/>
    <mergeCell ref="N13:O13"/>
    <mergeCell ref="P17:R17"/>
    <mergeCell ref="S17:T17"/>
    <mergeCell ref="K22:M22"/>
    <mergeCell ref="N22:O22"/>
    <mergeCell ref="P22:R22"/>
    <mergeCell ref="S22:T22"/>
    <mergeCell ref="N23:O23"/>
    <mergeCell ref="P23:R23"/>
    <mergeCell ref="S23:T23"/>
    <mergeCell ref="K23:M23"/>
    <mergeCell ref="K24:M24"/>
    <mergeCell ref="N24:O24"/>
    <mergeCell ref="P24:R24"/>
    <mergeCell ref="S24:T24"/>
    <mergeCell ref="K25:M25"/>
    <mergeCell ref="N25:O25"/>
    <mergeCell ref="K26:M26"/>
    <mergeCell ref="N26:O26"/>
    <mergeCell ref="P26:R26"/>
    <mergeCell ref="S26:T26"/>
    <mergeCell ref="N27:O27"/>
    <mergeCell ref="P27:R27"/>
    <mergeCell ref="S27:T27"/>
    <mergeCell ref="K27:M27"/>
    <mergeCell ref="K28:M28"/>
    <mergeCell ref="N28:O28"/>
    <mergeCell ref="P28:R28"/>
    <mergeCell ref="S28:T28"/>
    <mergeCell ref="K29:M29"/>
    <mergeCell ref="N29:O29"/>
    <mergeCell ref="N31:O31"/>
    <mergeCell ref="P31:R31"/>
    <mergeCell ref="P29:R29"/>
    <mergeCell ref="S29:T29"/>
    <mergeCell ref="K30:M30"/>
    <mergeCell ref="N30:O30"/>
    <mergeCell ref="P30:R30"/>
    <mergeCell ref="S30:T30"/>
    <mergeCell ref="S31:T31"/>
    <mergeCell ref="P33:R33"/>
    <mergeCell ref="S33:T33"/>
    <mergeCell ref="K31:M31"/>
    <mergeCell ref="K32:M32"/>
    <mergeCell ref="N32:O32"/>
    <mergeCell ref="P32:R32"/>
    <mergeCell ref="S32:T32"/>
    <mergeCell ref="K33:M33"/>
    <mergeCell ref="N33:O33"/>
    <mergeCell ref="N39:O39"/>
    <mergeCell ref="P39:R39"/>
    <mergeCell ref="P37:R37"/>
    <mergeCell ref="S37:T37"/>
    <mergeCell ref="K38:M38"/>
    <mergeCell ref="N38:O38"/>
    <mergeCell ref="P38:R38"/>
    <mergeCell ref="S38:T38"/>
    <mergeCell ref="S39:T39"/>
    <mergeCell ref="P41:R41"/>
    <mergeCell ref="S41:T41"/>
    <mergeCell ref="K39:M39"/>
    <mergeCell ref="K40:M40"/>
    <mergeCell ref="N40:O40"/>
    <mergeCell ref="P40:R40"/>
    <mergeCell ref="S40:T40"/>
    <mergeCell ref="K41:M41"/>
    <mergeCell ref="N41:O4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43"/>
    <col customWidth="1" min="5" max="5" width="46.71"/>
  </cols>
  <sheetData>
    <row r="8" ht="43.5" customHeight="1">
      <c r="E8" s="373" t="s">
        <v>447</v>
      </c>
      <c r="H8" s="374"/>
      <c r="I8" s="374"/>
      <c r="J8" s="374"/>
      <c r="K8" s="374"/>
      <c r="L8" s="374"/>
    </row>
    <row r="9" ht="30.0" customHeight="1">
      <c r="E9" s="375" t="s">
        <v>448</v>
      </c>
    </row>
    <row r="10" ht="30.75" customHeight="1">
      <c r="E10" s="374"/>
      <c r="H10" s="374"/>
      <c r="I10" s="374"/>
      <c r="J10" s="374"/>
      <c r="K10" s="374"/>
      <c r="L10" s="374"/>
    </row>
    <row r="11">
      <c r="E11" s="374"/>
      <c r="F11" s="374"/>
      <c r="G11" s="374"/>
      <c r="H11" s="374"/>
      <c r="I11" s="374"/>
      <c r="J11" s="374"/>
      <c r="K11" s="374"/>
      <c r="L11" s="374"/>
    </row>
    <row r="12">
      <c r="E12" s="376" t="s">
        <v>449</v>
      </c>
      <c r="K12" s="374"/>
      <c r="L12" s="374"/>
    </row>
    <row r="13">
      <c r="K13" s="374"/>
      <c r="L13" s="374"/>
    </row>
    <row r="14">
      <c r="E14" s="376" t="s">
        <v>450</v>
      </c>
      <c r="K14" s="374"/>
      <c r="L14" s="374"/>
    </row>
    <row r="15">
      <c r="K15" s="374"/>
      <c r="L15" s="374"/>
      <c r="N15" s="377" t="s">
        <v>251</v>
      </c>
      <c r="O15" s="146"/>
      <c r="P15" s="147"/>
    </row>
    <row r="16">
      <c r="E16" s="374"/>
      <c r="F16" s="374"/>
      <c r="G16" s="374"/>
      <c r="H16" s="374"/>
      <c r="I16" s="374"/>
      <c r="J16" s="374"/>
      <c r="K16" s="374"/>
      <c r="L16" s="374"/>
      <c r="N16" s="378" t="s">
        <v>451</v>
      </c>
      <c r="O16" s="378" t="s">
        <v>452</v>
      </c>
      <c r="P16" s="378" t="s">
        <v>23</v>
      </c>
    </row>
    <row r="17" ht="39.0" customHeight="1">
      <c r="E17" s="379" t="s">
        <v>453</v>
      </c>
      <c r="K17" s="374"/>
      <c r="L17" s="374"/>
      <c r="N17" s="380" t="s">
        <v>454</v>
      </c>
      <c r="O17" s="381">
        <v>2.8276854E7</v>
      </c>
      <c r="P17" s="381" t="s">
        <v>455</v>
      </c>
    </row>
    <row r="18">
      <c r="N18" s="380" t="s">
        <v>456</v>
      </c>
      <c r="O18" s="381">
        <v>5.1807685E7</v>
      </c>
      <c r="P18" s="381" t="s">
        <v>455</v>
      </c>
    </row>
    <row r="19">
      <c r="N19" s="380" t="s">
        <v>457</v>
      </c>
      <c r="O19" s="381">
        <v>2.2277741E7</v>
      </c>
      <c r="P19" s="381" t="s">
        <v>455</v>
      </c>
    </row>
    <row r="20">
      <c r="E20" s="382" t="s">
        <v>458</v>
      </c>
      <c r="F20" s="383">
        <v>2.0187285E7</v>
      </c>
      <c r="I20" s="96" t="s">
        <v>459</v>
      </c>
      <c r="N20" s="380" t="s">
        <v>460</v>
      </c>
      <c r="O20" s="381">
        <v>5.2179393E7</v>
      </c>
      <c r="P20" s="381" t="s">
        <v>461</v>
      </c>
    </row>
    <row r="21">
      <c r="E21" s="382" t="s">
        <v>462</v>
      </c>
      <c r="F21" s="383" t="s">
        <v>463</v>
      </c>
      <c r="I21" s="96" t="s">
        <v>464</v>
      </c>
      <c r="J21" s="96">
        <v>2.7814501E7</v>
      </c>
      <c r="N21" s="380" t="s">
        <v>465</v>
      </c>
      <c r="O21" s="381">
        <v>2.9049111E7</v>
      </c>
      <c r="P21" s="381" t="s">
        <v>98</v>
      </c>
    </row>
    <row r="22">
      <c r="E22" s="382" t="s">
        <v>466</v>
      </c>
      <c r="F22" s="383">
        <v>2.1542667E7</v>
      </c>
      <c r="J22" s="96" t="s">
        <v>0</v>
      </c>
      <c r="N22" s="380"/>
      <c r="O22" s="381"/>
      <c r="P22" s="381"/>
    </row>
    <row r="23">
      <c r="E23" s="382" t="s">
        <v>467</v>
      </c>
      <c r="F23" s="383">
        <v>2.9760402E7</v>
      </c>
      <c r="N23" s="380" t="s">
        <v>468</v>
      </c>
      <c r="O23" s="381"/>
      <c r="P23" s="381" t="s">
        <v>455</v>
      </c>
    </row>
    <row r="24">
      <c r="E24" s="382" t="s">
        <v>469</v>
      </c>
      <c r="F24" s="383">
        <v>5.3693697E7</v>
      </c>
      <c r="N24" s="380" t="s">
        <v>470</v>
      </c>
      <c r="O24" s="381"/>
      <c r="P24" s="381" t="s">
        <v>455</v>
      </c>
    </row>
    <row r="25">
      <c r="E25" s="382" t="s">
        <v>471</v>
      </c>
      <c r="F25" s="383">
        <v>5.8649572E7</v>
      </c>
      <c r="N25" s="380" t="s">
        <v>472</v>
      </c>
      <c r="O25" s="381">
        <v>9.5401345E7</v>
      </c>
      <c r="P25" s="381" t="s">
        <v>473</v>
      </c>
    </row>
    <row r="26">
      <c r="E26" s="382" t="s">
        <v>474</v>
      </c>
      <c r="F26" s="383">
        <v>2.7786088E7</v>
      </c>
      <c r="N26" s="380" t="s">
        <v>475</v>
      </c>
      <c r="O26" s="381">
        <v>9.3606309E7</v>
      </c>
      <c r="P26" s="381" t="s">
        <v>476</v>
      </c>
    </row>
    <row r="27">
      <c r="E27" s="382" t="s">
        <v>477</v>
      </c>
      <c r="F27" s="383">
        <v>9.8439539E7</v>
      </c>
      <c r="N27" s="380" t="s">
        <v>478</v>
      </c>
      <c r="O27" s="381" t="s">
        <v>479</v>
      </c>
      <c r="P27" s="381" t="s">
        <v>480</v>
      </c>
    </row>
    <row r="28">
      <c r="E28" s="382" t="s">
        <v>481</v>
      </c>
      <c r="F28" s="383">
        <v>5.5976902E7</v>
      </c>
      <c r="N28" s="380" t="s">
        <v>482</v>
      </c>
      <c r="O28" s="381" t="s">
        <v>483</v>
      </c>
      <c r="P28" s="381" t="s">
        <v>484</v>
      </c>
    </row>
    <row r="29">
      <c r="E29" s="382" t="s">
        <v>485</v>
      </c>
      <c r="F29" s="383">
        <v>5.5108941E7</v>
      </c>
      <c r="N29" s="380" t="s">
        <v>486</v>
      </c>
      <c r="O29" s="381">
        <v>2.8476854E7</v>
      </c>
      <c r="P29" s="381" t="s">
        <v>487</v>
      </c>
    </row>
    <row r="30">
      <c r="E30" s="382" t="s">
        <v>488</v>
      </c>
      <c r="F30" s="383">
        <v>2.2983265E7</v>
      </c>
      <c r="N30" s="380" t="s">
        <v>489</v>
      </c>
      <c r="O30" s="381">
        <v>2.6064562E7</v>
      </c>
      <c r="P30" s="381" t="s">
        <v>490</v>
      </c>
    </row>
    <row r="31">
      <c r="E31" s="382" t="s">
        <v>491</v>
      </c>
      <c r="F31" s="383">
        <v>9.6836431E7</v>
      </c>
      <c r="N31" s="380" t="s">
        <v>492</v>
      </c>
      <c r="O31" s="381">
        <v>2.082179E7</v>
      </c>
      <c r="P31" s="381" t="s">
        <v>493</v>
      </c>
    </row>
    <row r="32">
      <c r="E32" s="382" t="s">
        <v>494</v>
      </c>
      <c r="F32" s="383">
        <v>5.588192E7</v>
      </c>
      <c r="N32" s="380" t="s">
        <v>495</v>
      </c>
      <c r="O32" s="381">
        <v>2.0824257E7</v>
      </c>
      <c r="P32" s="381" t="s">
        <v>496</v>
      </c>
    </row>
    <row r="33">
      <c r="E33" s="382" t="s">
        <v>497</v>
      </c>
      <c r="F33" s="383">
        <v>2.3728675E7</v>
      </c>
      <c r="N33" s="380" t="s">
        <v>498</v>
      </c>
      <c r="O33" s="381">
        <v>5.1807685E7</v>
      </c>
      <c r="P33" s="381" t="s">
        <v>499</v>
      </c>
    </row>
    <row r="34">
      <c r="E34" s="382" t="s">
        <v>500</v>
      </c>
      <c r="F34" s="383">
        <v>9.298523E7</v>
      </c>
      <c r="N34" s="380" t="s">
        <v>501</v>
      </c>
      <c r="O34" s="381">
        <v>2.2277741E7</v>
      </c>
      <c r="P34" s="381" t="s">
        <v>499</v>
      </c>
    </row>
    <row r="35">
      <c r="E35" s="382" t="s">
        <v>502</v>
      </c>
      <c r="F35" s="383">
        <v>7.5222235E7</v>
      </c>
      <c r="N35" s="380" t="s">
        <v>503</v>
      </c>
      <c r="O35" s="381">
        <v>5.2946787E7</v>
      </c>
      <c r="P35" s="381" t="s">
        <v>504</v>
      </c>
    </row>
    <row r="36">
      <c r="E36" s="382" t="s">
        <v>505</v>
      </c>
      <c r="F36" s="383">
        <v>5.329491E7</v>
      </c>
      <c r="N36" s="380" t="s">
        <v>506</v>
      </c>
      <c r="O36" s="381">
        <v>2.2975374E7</v>
      </c>
      <c r="P36" s="381" t="s">
        <v>507</v>
      </c>
    </row>
    <row r="37">
      <c r="E37" s="382" t="s">
        <v>508</v>
      </c>
      <c r="F37" s="383">
        <v>5.8403328E7</v>
      </c>
      <c r="N37" s="384" t="s">
        <v>509</v>
      </c>
      <c r="O37" s="381">
        <v>9.0167337E7</v>
      </c>
      <c r="P37" s="381" t="s">
        <v>510</v>
      </c>
    </row>
    <row r="38">
      <c r="E38" s="382" t="s">
        <v>511</v>
      </c>
      <c r="F38" s="383">
        <v>9.796979E7</v>
      </c>
      <c r="N38" s="380" t="s">
        <v>512</v>
      </c>
      <c r="O38" s="381">
        <v>9.8244518E7</v>
      </c>
      <c r="P38" s="381" t="s">
        <v>513</v>
      </c>
    </row>
    <row r="39" ht="22.5" customHeight="1">
      <c r="E39" s="382" t="s">
        <v>514</v>
      </c>
      <c r="F39" s="383">
        <v>5.6051868E7</v>
      </c>
      <c r="N39" s="380" t="s">
        <v>515</v>
      </c>
      <c r="O39" s="381">
        <v>2.330441E7</v>
      </c>
      <c r="P39" s="381" t="s">
        <v>516</v>
      </c>
    </row>
    <row r="40" ht="37.5" customHeight="1">
      <c r="E40" s="382" t="s">
        <v>517</v>
      </c>
      <c r="F40" s="383">
        <v>5.2428475E7</v>
      </c>
      <c r="N40" s="380" t="s">
        <v>142</v>
      </c>
      <c r="O40" s="381">
        <v>2.330441E7</v>
      </c>
      <c r="P40" s="381" t="s">
        <v>499</v>
      </c>
    </row>
    <row r="41">
      <c r="E41" s="382" t="s">
        <v>518</v>
      </c>
      <c r="F41" s="383">
        <v>5.0663667E7</v>
      </c>
      <c r="N41" s="380" t="s">
        <v>519</v>
      </c>
      <c r="O41" s="381">
        <v>2.5244787E7</v>
      </c>
      <c r="P41" s="381" t="s">
        <v>520</v>
      </c>
    </row>
    <row r="42" ht="23.25" customHeight="1">
      <c r="E42" s="382" t="s">
        <v>521</v>
      </c>
      <c r="F42" s="383">
        <v>2.9026863E7</v>
      </c>
      <c r="N42" s="380" t="s">
        <v>522</v>
      </c>
      <c r="O42" s="381">
        <v>2.5892733E7</v>
      </c>
      <c r="P42" s="381" t="s">
        <v>523</v>
      </c>
    </row>
    <row r="43">
      <c r="E43" s="382" t="s">
        <v>524</v>
      </c>
      <c r="F43" s="383">
        <v>2.3195151E7</v>
      </c>
      <c r="N43" s="380" t="s">
        <v>525</v>
      </c>
      <c r="O43" s="381">
        <v>9.7993479E7</v>
      </c>
      <c r="P43" s="381" t="s">
        <v>526</v>
      </c>
    </row>
    <row r="44" ht="26.25" customHeight="1">
      <c r="C44" s="385" t="s">
        <v>527</v>
      </c>
      <c r="E44" s="386" t="s">
        <v>528</v>
      </c>
      <c r="F44" s="387" t="s">
        <v>529</v>
      </c>
      <c r="N44" s="380" t="s">
        <v>530</v>
      </c>
      <c r="O44" s="381" t="s">
        <v>531</v>
      </c>
      <c r="P44" s="381" t="s">
        <v>532</v>
      </c>
    </row>
    <row r="45" ht="29.25" customHeight="1">
      <c r="C45" s="385" t="s">
        <v>527</v>
      </c>
      <c r="E45" s="386" t="s">
        <v>533</v>
      </c>
      <c r="F45" s="387">
        <v>2.283029E7</v>
      </c>
      <c r="N45" s="380" t="s">
        <v>534</v>
      </c>
      <c r="O45" s="381">
        <v>9.8917155E7</v>
      </c>
      <c r="P45" s="381" t="s">
        <v>535</v>
      </c>
    </row>
    <row r="46">
      <c r="E46" s="388"/>
      <c r="F46" s="389"/>
      <c r="N46" s="380" t="s">
        <v>536</v>
      </c>
      <c r="O46" s="381">
        <v>5.6377297E7</v>
      </c>
      <c r="P46" s="381"/>
    </row>
    <row r="47">
      <c r="N47" s="380" t="s">
        <v>537</v>
      </c>
      <c r="O47" s="381">
        <v>5.12662974E8</v>
      </c>
      <c r="P47" s="381"/>
    </row>
    <row r="48">
      <c r="N48" s="380" t="s">
        <v>538</v>
      </c>
      <c r="O48" s="381">
        <v>5.12662974E8</v>
      </c>
      <c r="P48" s="381"/>
    </row>
    <row r="49">
      <c r="N49" s="380" t="s">
        <v>539</v>
      </c>
      <c r="O49" s="381" t="s">
        <v>540</v>
      </c>
      <c r="P49" s="381" t="s">
        <v>541</v>
      </c>
    </row>
    <row r="50">
      <c r="N50" s="380" t="s">
        <v>542</v>
      </c>
      <c r="O50" s="381" t="s">
        <v>543</v>
      </c>
      <c r="P50" s="381"/>
    </row>
    <row r="51">
      <c r="N51" s="380" t="s">
        <v>544</v>
      </c>
      <c r="O51" s="381" t="s">
        <v>545</v>
      </c>
      <c r="P51" s="381"/>
    </row>
    <row r="52">
      <c r="N52" s="380" t="s">
        <v>546</v>
      </c>
      <c r="O52" s="381" t="s">
        <v>547</v>
      </c>
      <c r="P52" s="381"/>
    </row>
    <row r="53">
      <c r="N53" s="380" t="s">
        <v>548</v>
      </c>
      <c r="O53" s="381" t="s">
        <v>549</v>
      </c>
      <c r="P53" s="381"/>
    </row>
    <row r="54">
      <c r="N54" s="380" t="s">
        <v>550</v>
      </c>
      <c r="O54" s="381" t="s">
        <v>551</v>
      </c>
      <c r="P54" s="381"/>
    </row>
    <row r="55">
      <c r="N55" s="380" t="s">
        <v>552</v>
      </c>
      <c r="O55" s="381" t="s">
        <v>553</v>
      </c>
      <c r="P55" s="381"/>
    </row>
    <row r="56">
      <c r="N56" s="380" t="s">
        <v>554</v>
      </c>
      <c r="O56" s="381" t="s">
        <v>555</v>
      </c>
      <c r="P56" s="381"/>
    </row>
    <row r="57">
      <c r="N57" s="380" t="s">
        <v>556</v>
      </c>
      <c r="O57" s="381" t="s">
        <v>557</v>
      </c>
      <c r="P57" s="381"/>
    </row>
    <row r="58">
      <c r="N58" s="380" t="s">
        <v>558</v>
      </c>
      <c r="O58" s="381" t="s">
        <v>559</v>
      </c>
      <c r="P58" s="381"/>
    </row>
    <row r="59">
      <c r="N59" s="380" t="s">
        <v>560</v>
      </c>
      <c r="O59" s="381" t="s">
        <v>561</v>
      </c>
      <c r="P59" s="381"/>
    </row>
    <row r="60">
      <c r="N60" s="380" t="s">
        <v>118</v>
      </c>
      <c r="O60" s="381" t="s">
        <v>562</v>
      </c>
      <c r="P60" s="381"/>
    </row>
    <row r="61">
      <c r="N61" s="380" t="s">
        <v>563</v>
      </c>
      <c r="O61" s="381" t="s">
        <v>564</v>
      </c>
      <c r="P61" s="381"/>
    </row>
    <row r="62">
      <c r="N62" s="380" t="s">
        <v>565</v>
      </c>
      <c r="O62" s="381" t="s">
        <v>566</v>
      </c>
      <c r="P62" s="381"/>
    </row>
    <row r="63">
      <c r="N63" s="380" t="s">
        <v>217</v>
      </c>
      <c r="O63" s="381" t="s">
        <v>567</v>
      </c>
      <c r="P63" s="381"/>
    </row>
    <row r="64">
      <c r="N64" s="380" t="s">
        <v>568</v>
      </c>
      <c r="O64" s="381" t="s">
        <v>569</v>
      </c>
      <c r="P64" s="381"/>
    </row>
    <row r="65">
      <c r="N65" s="380" t="s">
        <v>570</v>
      </c>
      <c r="O65" s="381" t="s">
        <v>571</v>
      </c>
      <c r="P65" s="381"/>
    </row>
    <row r="66">
      <c r="N66" s="380" t="s">
        <v>572</v>
      </c>
      <c r="O66" s="381" t="s">
        <v>573</v>
      </c>
      <c r="P66" s="381"/>
    </row>
    <row r="67">
      <c r="N67" s="380" t="s">
        <v>574</v>
      </c>
      <c r="O67" s="381" t="s">
        <v>575</v>
      </c>
      <c r="P67" s="381"/>
    </row>
    <row r="68">
      <c r="N68" s="380" t="s">
        <v>576</v>
      </c>
      <c r="O68" s="381" t="s">
        <v>577</v>
      </c>
      <c r="P68" s="381"/>
    </row>
    <row r="69">
      <c r="N69" s="380" t="s">
        <v>578</v>
      </c>
      <c r="O69" s="381" t="s">
        <v>579</v>
      </c>
      <c r="P69" s="381"/>
    </row>
    <row r="70">
      <c r="N70" s="380" t="s">
        <v>580</v>
      </c>
      <c r="O70" s="381" t="s">
        <v>581</v>
      </c>
      <c r="P70" s="381"/>
    </row>
    <row r="71">
      <c r="N71" s="380" t="s">
        <v>582</v>
      </c>
      <c r="O71" s="381">
        <v>5.2891069E7</v>
      </c>
      <c r="P71" s="381"/>
    </row>
    <row r="72">
      <c r="N72" s="380" t="s">
        <v>583</v>
      </c>
      <c r="O72" s="381">
        <v>2.4951512E7</v>
      </c>
      <c r="P72" s="381" t="s">
        <v>584</v>
      </c>
    </row>
    <row r="73">
      <c r="N73" s="380" t="s">
        <v>585</v>
      </c>
      <c r="O73" s="381">
        <v>9.5325319E7</v>
      </c>
      <c r="P73" s="381" t="s">
        <v>586</v>
      </c>
    </row>
    <row r="74">
      <c r="N74" s="380" t="s">
        <v>587</v>
      </c>
      <c r="O74" s="381">
        <v>5.4166013E7</v>
      </c>
      <c r="P74" s="381" t="s">
        <v>588</v>
      </c>
    </row>
    <row r="75">
      <c r="N75" s="380"/>
      <c r="O75" s="381"/>
      <c r="P75" s="381"/>
    </row>
  </sheetData>
  <mergeCells count="7">
    <mergeCell ref="E8:G8"/>
    <mergeCell ref="E9:L9"/>
    <mergeCell ref="E10:G10"/>
    <mergeCell ref="E12:J13"/>
    <mergeCell ref="E14:J15"/>
    <mergeCell ref="N15:P15"/>
    <mergeCell ref="E17:J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14"/>
    <col customWidth="1" min="2" max="3" width="20.14"/>
    <col customWidth="1" min="4" max="4" width="40.14"/>
    <col customWidth="1" min="5" max="5" width="25.29"/>
    <col customWidth="1" min="6" max="6" width="21.57"/>
    <col customWidth="1" min="7" max="9" width="40.14"/>
  </cols>
  <sheetData>
    <row r="1">
      <c r="A1" s="230" t="s">
        <v>589</v>
      </c>
      <c r="B1" s="230"/>
      <c r="C1" s="230"/>
      <c r="D1" s="230"/>
      <c r="E1" s="230"/>
      <c r="F1" s="230"/>
      <c r="G1" s="230"/>
      <c r="H1" s="230"/>
      <c r="I1" s="230"/>
    </row>
    <row r="2">
      <c r="A2" s="390" t="s">
        <v>590</v>
      </c>
      <c r="B2" s="9"/>
      <c r="C2" s="9"/>
      <c r="D2" s="9"/>
      <c r="E2" s="9"/>
      <c r="F2" s="9"/>
      <c r="G2" s="9"/>
      <c r="H2" s="9"/>
      <c r="I2" s="230"/>
    </row>
    <row r="3">
      <c r="A3" s="14"/>
      <c r="I3" s="230"/>
    </row>
    <row r="4">
      <c r="A4" s="17"/>
      <c r="B4" s="18"/>
      <c r="C4" s="18"/>
      <c r="D4" s="18"/>
      <c r="E4" s="18"/>
      <c r="F4" s="18"/>
      <c r="G4" s="18"/>
      <c r="H4" s="18"/>
      <c r="I4" s="230"/>
    </row>
    <row r="5">
      <c r="A5" s="391" t="s">
        <v>24</v>
      </c>
      <c r="B5" s="392" t="s">
        <v>591</v>
      </c>
      <c r="C5" s="393"/>
      <c r="D5" s="394" t="s">
        <v>592</v>
      </c>
      <c r="E5" s="392" t="s">
        <v>593</v>
      </c>
      <c r="F5" s="393"/>
      <c r="G5" s="395">
        <v>0.11</v>
      </c>
      <c r="H5" s="393"/>
      <c r="I5" s="230"/>
    </row>
    <row r="6" ht="24.75" customHeight="1">
      <c r="A6" s="396"/>
      <c r="B6" s="397"/>
      <c r="C6" s="398"/>
      <c r="D6" s="396"/>
      <c r="E6" s="397"/>
      <c r="F6" s="398"/>
      <c r="G6" s="397"/>
      <c r="H6" s="398"/>
      <c r="I6" s="230"/>
    </row>
    <row r="7">
      <c r="A7" s="399">
        <v>46030.0</v>
      </c>
      <c r="B7" s="400" t="s">
        <v>594</v>
      </c>
      <c r="C7" s="10"/>
      <c r="D7" s="401" t="s">
        <v>595</v>
      </c>
      <c r="E7" s="402">
        <v>40.0</v>
      </c>
      <c r="F7" s="10"/>
      <c r="G7" s="400">
        <f>E7*0.11</f>
        <v>4.4</v>
      </c>
      <c r="H7" s="10"/>
      <c r="I7" s="230"/>
    </row>
    <row r="8">
      <c r="A8" s="396"/>
      <c r="B8" s="17"/>
      <c r="C8" s="19"/>
      <c r="D8" s="251"/>
      <c r="E8" s="17"/>
      <c r="F8" s="19"/>
      <c r="G8" s="17"/>
      <c r="H8" s="19"/>
      <c r="I8" s="230"/>
    </row>
    <row r="9">
      <c r="A9" s="403">
        <v>46056.0</v>
      </c>
      <c r="B9" s="402" t="s">
        <v>124</v>
      </c>
      <c r="C9" s="10"/>
      <c r="D9" s="404" t="s">
        <v>596</v>
      </c>
      <c r="E9" s="402">
        <v>130.0</v>
      </c>
      <c r="F9" s="10"/>
      <c r="G9" s="400">
        <f>E9*0.11</f>
        <v>14.3</v>
      </c>
      <c r="H9" s="10"/>
      <c r="I9" s="230"/>
    </row>
    <row r="10">
      <c r="A10" s="396"/>
      <c r="B10" s="17"/>
      <c r="C10" s="19"/>
      <c r="D10" s="251"/>
      <c r="E10" s="17"/>
      <c r="F10" s="19"/>
      <c r="G10" s="17"/>
      <c r="H10" s="19"/>
      <c r="I10" s="230"/>
    </row>
    <row r="11">
      <c r="A11" s="405"/>
      <c r="B11" s="402" t="s">
        <v>597</v>
      </c>
      <c r="C11" s="10"/>
      <c r="D11" s="404" t="s">
        <v>598</v>
      </c>
      <c r="E11" s="402">
        <v>150.0</v>
      </c>
      <c r="F11" s="10"/>
      <c r="G11" s="400">
        <f>E11*0.11</f>
        <v>16.5</v>
      </c>
      <c r="H11" s="10"/>
      <c r="I11" s="230"/>
    </row>
    <row r="12">
      <c r="A12" s="396"/>
      <c r="B12" s="17"/>
      <c r="C12" s="19"/>
      <c r="D12" s="251"/>
      <c r="E12" s="17"/>
      <c r="F12" s="19"/>
      <c r="G12" s="17"/>
      <c r="H12" s="19"/>
      <c r="I12" s="230"/>
    </row>
    <row r="13">
      <c r="A13" s="403">
        <v>46062.0</v>
      </c>
      <c r="B13" s="402" t="s">
        <v>151</v>
      </c>
      <c r="C13" s="10"/>
      <c r="D13" s="404" t="s">
        <v>598</v>
      </c>
      <c r="E13" s="402">
        <v>150.0</v>
      </c>
      <c r="F13" s="10"/>
      <c r="G13" s="400">
        <f>E13*0.11</f>
        <v>16.5</v>
      </c>
      <c r="H13" s="10"/>
      <c r="I13" s="230"/>
    </row>
    <row r="14">
      <c r="A14" s="396"/>
      <c r="B14" s="17"/>
      <c r="C14" s="19"/>
      <c r="D14" s="251"/>
      <c r="E14" s="17"/>
      <c r="F14" s="19"/>
      <c r="G14" s="17"/>
      <c r="H14" s="19"/>
      <c r="I14" s="230"/>
    </row>
    <row r="15">
      <c r="A15" s="403">
        <v>46062.0</v>
      </c>
      <c r="B15" s="402" t="s">
        <v>151</v>
      </c>
      <c r="C15" s="10"/>
      <c r="D15" s="404" t="s">
        <v>598</v>
      </c>
      <c r="E15" s="402">
        <v>150.0</v>
      </c>
      <c r="F15" s="10"/>
      <c r="G15" s="400">
        <f>E15*0.11</f>
        <v>16.5</v>
      </c>
      <c r="H15" s="10"/>
      <c r="I15" s="230"/>
    </row>
    <row r="16">
      <c r="A16" s="396"/>
      <c r="B16" s="17"/>
      <c r="C16" s="19"/>
      <c r="D16" s="251"/>
      <c r="E16" s="17"/>
      <c r="F16" s="19"/>
      <c r="G16" s="17"/>
      <c r="H16" s="19"/>
      <c r="I16" s="230"/>
    </row>
    <row r="17">
      <c r="A17" s="403">
        <v>46065.0</v>
      </c>
      <c r="B17" s="402" t="s">
        <v>151</v>
      </c>
      <c r="C17" s="10"/>
      <c r="D17" s="404" t="s">
        <v>598</v>
      </c>
      <c r="E17" s="402">
        <v>170.0</v>
      </c>
      <c r="F17" s="10"/>
      <c r="G17" s="400">
        <f>E17*0.11</f>
        <v>18.7</v>
      </c>
      <c r="H17" s="10"/>
      <c r="I17" s="230"/>
    </row>
    <row r="18">
      <c r="A18" s="396"/>
      <c r="B18" s="17"/>
      <c r="C18" s="19"/>
      <c r="D18" s="251"/>
      <c r="E18" s="17"/>
      <c r="F18" s="19"/>
      <c r="G18" s="17"/>
      <c r="H18" s="19"/>
      <c r="I18" s="230"/>
    </row>
    <row r="19">
      <c r="A19" s="405"/>
      <c r="B19" s="400"/>
      <c r="C19" s="10"/>
      <c r="D19" s="401"/>
      <c r="E19" s="400"/>
      <c r="F19" s="10"/>
      <c r="G19" s="400">
        <f>E19*0.11</f>
        <v>0</v>
      </c>
      <c r="H19" s="10"/>
      <c r="I19" s="230"/>
    </row>
    <row r="20">
      <c r="A20" s="396"/>
      <c r="B20" s="17"/>
      <c r="C20" s="19"/>
      <c r="D20" s="251"/>
      <c r="E20" s="17"/>
      <c r="F20" s="19"/>
      <c r="G20" s="17"/>
      <c r="H20" s="19"/>
      <c r="I20" s="230"/>
    </row>
    <row r="21">
      <c r="A21" s="405"/>
      <c r="B21" s="400"/>
      <c r="C21" s="10"/>
      <c r="D21" s="401"/>
      <c r="E21" s="400"/>
      <c r="F21" s="10"/>
      <c r="G21" s="400">
        <f>E21*0.11</f>
        <v>0</v>
      </c>
      <c r="H21" s="10"/>
      <c r="I21" s="230"/>
    </row>
    <row r="22">
      <c r="A22" s="396"/>
      <c r="B22" s="17"/>
      <c r="C22" s="19"/>
      <c r="D22" s="251"/>
      <c r="E22" s="17"/>
      <c r="F22" s="19"/>
      <c r="G22" s="17"/>
      <c r="H22" s="19"/>
      <c r="I22" s="230"/>
    </row>
    <row r="23">
      <c r="A23" s="405"/>
      <c r="B23" s="400"/>
      <c r="C23" s="10"/>
      <c r="D23" s="401"/>
      <c r="E23" s="400"/>
      <c r="F23" s="10"/>
      <c r="G23" s="400">
        <f>E23*0.11</f>
        <v>0</v>
      </c>
      <c r="H23" s="10"/>
      <c r="I23" s="230"/>
    </row>
    <row r="24">
      <c r="A24" s="396"/>
      <c r="B24" s="17"/>
      <c r="C24" s="19"/>
      <c r="D24" s="251"/>
      <c r="E24" s="17"/>
      <c r="F24" s="19"/>
      <c r="G24" s="17"/>
      <c r="H24" s="19"/>
      <c r="I24" s="230"/>
    </row>
    <row r="25">
      <c r="A25" s="405"/>
      <c r="B25" s="400"/>
      <c r="C25" s="10"/>
      <c r="D25" s="401"/>
      <c r="E25" s="400"/>
      <c r="F25" s="10"/>
      <c r="G25" s="400">
        <f>E25*0.11</f>
        <v>0</v>
      </c>
      <c r="H25" s="10"/>
      <c r="I25" s="230"/>
    </row>
    <row r="26">
      <c r="A26" s="396"/>
      <c r="B26" s="17"/>
      <c r="C26" s="19"/>
      <c r="D26" s="251"/>
      <c r="E26" s="17"/>
      <c r="F26" s="19"/>
      <c r="G26" s="17"/>
      <c r="H26" s="19"/>
      <c r="I26" s="230"/>
    </row>
    <row r="27" ht="17.25" customHeight="1">
      <c r="A27" s="405"/>
      <c r="B27" s="400"/>
      <c r="C27" s="10"/>
      <c r="D27" s="401"/>
      <c r="E27" s="400"/>
      <c r="F27" s="10"/>
      <c r="G27" s="400">
        <f>E27*0.11</f>
        <v>0</v>
      </c>
      <c r="H27" s="10"/>
      <c r="I27" s="230"/>
    </row>
    <row r="28" ht="17.25" customHeight="1">
      <c r="A28" s="396"/>
      <c r="B28" s="17"/>
      <c r="C28" s="19"/>
      <c r="D28" s="251"/>
      <c r="E28" s="17"/>
      <c r="F28" s="19"/>
      <c r="G28" s="17"/>
      <c r="H28" s="19"/>
      <c r="I28" s="230"/>
    </row>
    <row r="29" ht="17.25" customHeight="1">
      <c r="A29" s="405"/>
      <c r="B29" s="400"/>
      <c r="C29" s="10"/>
      <c r="D29" s="401"/>
      <c r="E29" s="400"/>
      <c r="F29" s="10"/>
      <c r="G29" s="400">
        <f>E29*0.11</f>
        <v>0</v>
      </c>
      <c r="H29" s="10"/>
      <c r="I29" s="230"/>
    </row>
    <row r="30" ht="16.5" customHeight="1">
      <c r="A30" s="396"/>
      <c r="B30" s="17"/>
      <c r="C30" s="19"/>
      <c r="D30" s="251"/>
      <c r="E30" s="17"/>
      <c r="F30" s="19"/>
      <c r="G30" s="17"/>
      <c r="H30" s="19"/>
      <c r="I30" s="230"/>
    </row>
    <row r="31" ht="16.5" customHeight="1">
      <c r="A31" s="405"/>
      <c r="B31" s="400"/>
      <c r="C31" s="10"/>
      <c r="D31" s="401"/>
      <c r="E31" s="400"/>
      <c r="F31" s="10"/>
      <c r="G31" s="400">
        <f>E31*0.11</f>
        <v>0</v>
      </c>
      <c r="H31" s="10"/>
      <c r="I31" s="230"/>
    </row>
    <row r="32" ht="16.5" customHeight="1">
      <c r="A32" s="396"/>
      <c r="B32" s="17"/>
      <c r="C32" s="19"/>
      <c r="D32" s="251"/>
      <c r="E32" s="17"/>
      <c r="F32" s="19"/>
      <c r="G32" s="17"/>
      <c r="H32" s="19"/>
      <c r="I32" s="230"/>
    </row>
    <row r="33" ht="18.75" customHeight="1">
      <c r="A33" s="405"/>
      <c r="B33" s="400"/>
      <c r="C33" s="10"/>
      <c r="D33" s="401"/>
      <c r="E33" s="400"/>
      <c r="F33" s="10"/>
      <c r="G33" s="400">
        <f>E33*0.11</f>
        <v>0</v>
      </c>
      <c r="H33" s="10"/>
      <c r="I33" s="230"/>
    </row>
    <row r="34" ht="20.25" customHeight="1">
      <c r="A34" s="396"/>
      <c r="B34" s="17"/>
      <c r="C34" s="19"/>
      <c r="D34" s="251"/>
      <c r="E34" s="17"/>
      <c r="F34" s="19"/>
      <c r="G34" s="17"/>
      <c r="H34" s="19"/>
      <c r="I34" s="230"/>
    </row>
    <row r="35" ht="25.5" customHeight="1">
      <c r="A35" s="405"/>
      <c r="B35" s="400"/>
      <c r="C35" s="10"/>
      <c r="D35" s="401"/>
      <c r="E35" s="400"/>
      <c r="F35" s="10"/>
      <c r="G35" s="400">
        <f>E35*0.11</f>
        <v>0</v>
      </c>
      <c r="H35" s="10"/>
      <c r="I35" s="230"/>
    </row>
    <row r="36">
      <c r="A36" s="396"/>
      <c r="B36" s="17"/>
      <c r="C36" s="19"/>
      <c r="D36" s="251"/>
      <c r="E36" s="17"/>
      <c r="F36" s="19"/>
      <c r="G36" s="17"/>
      <c r="H36" s="19"/>
      <c r="I36" s="230"/>
    </row>
    <row r="37">
      <c r="A37" s="399"/>
      <c r="B37" s="400"/>
      <c r="C37" s="10"/>
      <c r="D37" s="401"/>
      <c r="E37" s="400"/>
      <c r="F37" s="10"/>
      <c r="G37" s="400">
        <f>E37*0.11</f>
        <v>0</v>
      </c>
      <c r="H37" s="10"/>
      <c r="I37" s="230"/>
    </row>
    <row r="38">
      <c r="A38" s="396"/>
      <c r="B38" s="17"/>
      <c r="C38" s="19"/>
      <c r="D38" s="251"/>
      <c r="E38" s="17"/>
      <c r="F38" s="19"/>
      <c r="G38" s="17"/>
      <c r="H38" s="19"/>
      <c r="I38" s="230"/>
    </row>
    <row r="39">
      <c r="A39" s="405"/>
      <c r="B39" s="400"/>
      <c r="C39" s="10"/>
      <c r="D39" s="401"/>
      <c r="E39" s="400"/>
      <c r="F39" s="10"/>
      <c r="G39" s="400">
        <f>E39*0.11</f>
        <v>0</v>
      </c>
      <c r="H39" s="10"/>
      <c r="I39" s="230"/>
    </row>
    <row r="40">
      <c r="A40" s="396"/>
      <c r="B40" s="17"/>
      <c r="C40" s="19"/>
      <c r="D40" s="251"/>
      <c r="E40" s="17"/>
      <c r="F40" s="19"/>
      <c r="G40" s="17"/>
      <c r="H40" s="19"/>
      <c r="I40" s="230"/>
    </row>
    <row r="41">
      <c r="A41" s="405"/>
      <c r="B41" s="400"/>
      <c r="C41" s="10"/>
      <c r="D41" s="401"/>
      <c r="E41" s="400"/>
      <c r="F41" s="10"/>
      <c r="G41" s="400">
        <f>E41*0.11</f>
        <v>0</v>
      </c>
      <c r="H41" s="10"/>
      <c r="I41" s="230"/>
    </row>
    <row r="42">
      <c r="A42" s="396"/>
      <c r="B42" s="17"/>
      <c r="C42" s="19"/>
      <c r="D42" s="251"/>
      <c r="E42" s="17"/>
      <c r="F42" s="19"/>
      <c r="G42" s="17"/>
      <c r="H42" s="19"/>
      <c r="I42" s="230"/>
    </row>
    <row r="43">
      <c r="A43" s="405"/>
      <c r="B43" s="400"/>
      <c r="C43" s="10"/>
      <c r="D43" s="401"/>
      <c r="E43" s="400"/>
      <c r="F43" s="10"/>
      <c r="G43" s="400">
        <f>E43*0.11</f>
        <v>0</v>
      </c>
      <c r="H43" s="10"/>
      <c r="I43" s="230"/>
    </row>
    <row r="44">
      <c r="A44" s="396"/>
      <c r="B44" s="17"/>
      <c r="C44" s="19"/>
      <c r="D44" s="251"/>
      <c r="E44" s="17"/>
      <c r="F44" s="19"/>
      <c r="G44" s="17"/>
      <c r="H44" s="19"/>
      <c r="I44" s="230"/>
    </row>
    <row r="45">
      <c r="A45" s="405"/>
      <c r="B45" s="400"/>
      <c r="C45" s="10"/>
      <c r="D45" s="401"/>
      <c r="E45" s="400"/>
      <c r="F45" s="10"/>
      <c r="G45" s="400">
        <f>E45*0.11</f>
        <v>0</v>
      </c>
      <c r="H45" s="10"/>
      <c r="I45" s="230"/>
    </row>
    <row r="46">
      <c r="A46" s="396"/>
      <c r="B46" s="17"/>
      <c r="C46" s="19"/>
      <c r="D46" s="251"/>
      <c r="E46" s="17"/>
      <c r="F46" s="19"/>
      <c r="G46" s="17"/>
      <c r="H46" s="19"/>
      <c r="I46" s="230"/>
    </row>
    <row r="47">
      <c r="A47" s="405"/>
      <c r="B47" s="400"/>
      <c r="C47" s="10"/>
      <c r="D47" s="401"/>
      <c r="E47" s="400"/>
      <c r="F47" s="10"/>
      <c r="G47" s="400">
        <f>E47*0.11</f>
        <v>0</v>
      </c>
      <c r="H47" s="10"/>
      <c r="I47" s="230"/>
    </row>
    <row r="48">
      <c r="A48" s="396"/>
      <c r="B48" s="17"/>
      <c r="C48" s="19"/>
      <c r="D48" s="251"/>
      <c r="E48" s="17"/>
      <c r="F48" s="19"/>
      <c r="G48" s="17"/>
      <c r="H48" s="19"/>
      <c r="I48" s="230"/>
    </row>
    <row r="49">
      <c r="A49" s="406"/>
      <c r="B49" s="400"/>
      <c r="C49" s="10"/>
      <c r="D49" s="401"/>
      <c r="E49" s="400"/>
      <c r="F49" s="10"/>
      <c r="G49" s="400">
        <f>E49*0.11</f>
        <v>0</v>
      </c>
      <c r="H49" s="10"/>
      <c r="I49" s="230"/>
    </row>
    <row r="50">
      <c r="A50" s="396"/>
      <c r="B50" s="17"/>
      <c r="C50" s="19"/>
      <c r="D50" s="251"/>
      <c r="E50" s="17"/>
      <c r="F50" s="19"/>
      <c r="G50" s="17"/>
      <c r="H50" s="19"/>
      <c r="I50" s="230"/>
    </row>
    <row r="51">
      <c r="A51" s="405"/>
      <c r="B51" s="400"/>
      <c r="C51" s="10"/>
      <c r="D51" s="401"/>
      <c r="E51" s="400"/>
      <c r="F51" s="10"/>
      <c r="G51" s="400">
        <f>E51*0.11</f>
        <v>0</v>
      </c>
      <c r="H51" s="10"/>
      <c r="I51" s="230"/>
    </row>
    <row r="52">
      <c r="A52" s="396"/>
      <c r="B52" s="17"/>
      <c r="C52" s="19"/>
      <c r="D52" s="251"/>
      <c r="E52" s="17"/>
      <c r="F52" s="19"/>
      <c r="G52" s="17"/>
      <c r="H52" s="19"/>
      <c r="I52" s="230"/>
    </row>
    <row r="53">
      <c r="A53" s="405"/>
      <c r="B53" s="400"/>
      <c r="C53" s="10"/>
      <c r="D53" s="401"/>
      <c r="E53" s="400"/>
      <c r="F53" s="10"/>
      <c r="G53" s="400">
        <f>E53*0.11</f>
        <v>0</v>
      </c>
      <c r="H53" s="10"/>
      <c r="I53" s="230"/>
    </row>
    <row r="54">
      <c r="A54" s="396"/>
      <c r="B54" s="17"/>
      <c r="C54" s="19"/>
      <c r="D54" s="251"/>
      <c r="E54" s="17"/>
      <c r="F54" s="19"/>
      <c r="G54" s="17"/>
      <c r="H54" s="19"/>
      <c r="I54" s="230"/>
    </row>
    <row r="55">
      <c r="A55" s="399"/>
      <c r="B55" s="400"/>
      <c r="C55" s="10"/>
      <c r="D55" s="401"/>
      <c r="E55" s="400"/>
      <c r="F55" s="10"/>
      <c r="G55" s="400">
        <f>E55*0.11</f>
        <v>0</v>
      </c>
      <c r="H55" s="10"/>
      <c r="I55" s="230"/>
    </row>
    <row r="56">
      <c r="A56" s="396"/>
      <c r="B56" s="17"/>
      <c r="C56" s="19"/>
      <c r="D56" s="251"/>
      <c r="E56" s="17"/>
      <c r="F56" s="19"/>
      <c r="G56" s="17"/>
      <c r="H56" s="19"/>
      <c r="I56" s="230"/>
    </row>
    <row r="57">
      <c r="A57" s="405"/>
      <c r="B57" s="400"/>
      <c r="C57" s="10"/>
      <c r="D57" s="401"/>
      <c r="E57" s="400"/>
      <c r="F57" s="10"/>
      <c r="G57" s="400">
        <f>E57*0.11</f>
        <v>0</v>
      </c>
      <c r="H57" s="10"/>
      <c r="I57" s="230"/>
    </row>
    <row r="58">
      <c r="A58" s="396"/>
      <c r="B58" s="17"/>
      <c r="C58" s="19"/>
      <c r="D58" s="251"/>
      <c r="E58" s="17"/>
      <c r="F58" s="19"/>
      <c r="G58" s="17"/>
      <c r="H58" s="19"/>
      <c r="I58" s="230"/>
    </row>
    <row r="59">
      <c r="A59" s="399"/>
      <c r="B59" s="400"/>
      <c r="C59" s="10"/>
      <c r="D59" s="401"/>
      <c r="E59" s="400"/>
      <c r="F59" s="10"/>
      <c r="G59" s="400">
        <f>E59*0.11</f>
        <v>0</v>
      </c>
      <c r="H59" s="10"/>
      <c r="I59" s="230"/>
    </row>
    <row r="60">
      <c r="A60" s="396"/>
      <c r="B60" s="17"/>
      <c r="C60" s="19"/>
      <c r="D60" s="251"/>
      <c r="E60" s="17"/>
      <c r="F60" s="19"/>
      <c r="G60" s="17"/>
      <c r="H60" s="19"/>
      <c r="I60" s="230"/>
    </row>
    <row r="61">
      <c r="A61" s="405"/>
      <c r="B61" s="400"/>
      <c r="C61" s="10"/>
      <c r="D61" s="401"/>
      <c r="E61" s="400"/>
      <c r="F61" s="10"/>
      <c r="G61" s="400">
        <f>E61*0.11</f>
        <v>0</v>
      </c>
      <c r="H61" s="10"/>
      <c r="I61" s="230"/>
    </row>
    <row r="62">
      <c r="A62" s="396"/>
      <c r="B62" s="17"/>
      <c r="C62" s="19"/>
      <c r="D62" s="251"/>
      <c r="E62" s="17"/>
      <c r="F62" s="19"/>
      <c r="G62" s="17"/>
      <c r="H62" s="19"/>
      <c r="I62" s="230"/>
    </row>
    <row r="63">
      <c r="A63" s="405"/>
      <c r="B63" s="400"/>
      <c r="C63" s="10"/>
      <c r="D63" s="401"/>
      <c r="E63" s="400"/>
      <c r="F63" s="10"/>
      <c r="G63" s="400">
        <f>E63*0.11</f>
        <v>0</v>
      </c>
      <c r="H63" s="10"/>
      <c r="I63" s="230"/>
    </row>
    <row r="64">
      <c r="A64" s="396"/>
      <c r="B64" s="17"/>
      <c r="C64" s="19"/>
      <c r="D64" s="251"/>
      <c r="E64" s="17"/>
      <c r="F64" s="19"/>
      <c r="G64" s="17"/>
      <c r="H64" s="19"/>
      <c r="I64" s="230"/>
    </row>
    <row r="65">
      <c r="A65" s="405"/>
      <c r="B65" s="400"/>
      <c r="C65" s="10"/>
      <c r="D65" s="401"/>
      <c r="E65" s="400"/>
      <c r="F65" s="10"/>
      <c r="G65" s="400">
        <f>E65*0.11</f>
        <v>0</v>
      </c>
      <c r="H65" s="10"/>
      <c r="I65" s="230"/>
    </row>
    <row r="66">
      <c r="A66" s="396"/>
      <c r="B66" s="17"/>
      <c r="C66" s="19"/>
      <c r="D66" s="251"/>
      <c r="E66" s="17"/>
      <c r="F66" s="19"/>
      <c r="G66" s="17"/>
      <c r="H66" s="19"/>
      <c r="I66" s="230"/>
    </row>
    <row r="67">
      <c r="A67" s="405"/>
      <c r="B67" s="400"/>
      <c r="C67" s="10"/>
      <c r="D67" s="401"/>
      <c r="E67" s="400"/>
      <c r="F67" s="10"/>
      <c r="G67" s="400">
        <f>E67*0.11</f>
        <v>0</v>
      </c>
      <c r="H67" s="10"/>
      <c r="I67" s="230"/>
    </row>
    <row r="68">
      <c r="A68" s="396"/>
      <c r="B68" s="17"/>
      <c r="C68" s="19"/>
      <c r="D68" s="251"/>
      <c r="E68" s="17"/>
      <c r="F68" s="19"/>
      <c r="G68" s="17"/>
      <c r="H68" s="19"/>
      <c r="I68" s="230"/>
    </row>
    <row r="69">
      <c r="A69" s="399"/>
      <c r="B69" s="400"/>
      <c r="C69" s="10"/>
      <c r="D69" s="401"/>
      <c r="E69" s="400"/>
      <c r="F69" s="10"/>
      <c r="G69" s="400">
        <f>E69*0.11</f>
        <v>0</v>
      </c>
      <c r="H69" s="10"/>
      <c r="I69" s="230"/>
    </row>
    <row r="70">
      <c r="A70" s="396"/>
      <c r="B70" s="17"/>
      <c r="C70" s="19"/>
      <c r="D70" s="251"/>
      <c r="E70" s="17"/>
      <c r="F70" s="19"/>
      <c r="G70" s="17"/>
      <c r="H70" s="19"/>
      <c r="I70" s="230"/>
    </row>
    <row r="71">
      <c r="A71" s="405"/>
      <c r="B71" s="400"/>
      <c r="C71" s="10"/>
      <c r="D71" s="401"/>
      <c r="E71" s="400"/>
      <c r="F71" s="10"/>
      <c r="G71" s="400">
        <f>E71*0.11</f>
        <v>0</v>
      </c>
      <c r="H71" s="10"/>
      <c r="I71" s="230"/>
    </row>
    <row r="72">
      <c r="A72" s="396"/>
      <c r="B72" s="17"/>
      <c r="C72" s="19"/>
      <c r="D72" s="251"/>
      <c r="E72" s="17"/>
      <c r="F72" s="19"/>
      <c r="G72" s="17"/>
      <c r="H72" s="19"/>
      <c r="I72" s="230"/>
    </row>
    <row r="73">
      <c r="A73" s="399"/>
      <c r="B73" s="400"/>
      <c r="C73" s="10"/>
      <c r="D73" s="401"/>
      <c r="E73" s="400"/>
      <c r="F73" s="10"/>
      <c r="G73" s="400">
        <f>E73*0.11</f>
        <v>0</v>
      </c>
      <c r="H73" s="10"/>
      <c r="I73" s="230"/>
    </row>
    <row r="74">
      <c r="A74" s="396"/>
      <c r="B74" s="17"/>
      <c r="C74" s="19"/>
      <c r="D74" s="251"/>
      <c r="E74" s="17"/>
      <c r="F74" s="19"/>
      <c r="G74" s="17"/>
      <c r="H74" s="19"/>
      <c r="I74" s="230"/>
    </row>
    <row r="75">
      <c r="A75" s="405"/>
      <c r="B75" s="400"/>
      <c r="C75" s="10"/>
      <c r="D75" s="401"/>
      <c r="E75" s="400"/>
      <c r="F75" s="10"/>
      <c r="G75" s="400">
        <f>E75*0.11</f>
        <v>0</v>
      </c>
      <c r="H75" s="10"/>
      <c r="I75" s="230"/>
    </row>
    <row r="76">
      <c r="A76" s="396"/>
      <c r="B76" s="17"/>
      <c r="C76" s="19"/>
      <c r="D76" s="251"/>
      <c r="E76" s="17"/>
      <c r="F76" s="19"/>
      <c r="G76" s="17"/>
      <c r="H76" s="19"/>
      <c r="I76" s="230"/>
    </row>
    <row r="77">
      <c r="A77" s="405"/>
      <c r="B77" s="400"/>
      <c r="C77" s="10"/>
      <c r="D77" s="401"/>
      <c r="E77" s="400"/>
      <c r="F77" s="10"/>
      <c r="G77" s="400">
        <f>E77*0.11</f>
        <v>0</v>
      </c>
      <c r="H77" s="10"/>
      <c r="I77" s="230"/>
    </row>
    <row r="78">
      <c r="A78" s="396"/>
      <c r="B78" s="17"/>
      <c r="C78" s="19"/>
      <c r="D78" s="251"/>
      <c r="E78" s="17"/>
      <c r="F78" s="19"/>
      <c r="G78" s="17"/>
      <c r="H78" s="19"/>
      <c r="I78" s="230"/>
    </row>
    <row r="79">
      <c r="A79" s="399"/>
      <c r="B79" s="400"/>
      <c r="C79" s="10"/>
      <c r="D79" s="401"/>
      <c r="E79" s="400"/>
      <c r="F79" s="10"/>
      <c r="G79" s="400">
        <f>E79*0.11</f>
        <v>0</v>
      </c>
      <c r="H79" s="10"/>
      <c r="I79" s="230"/>
    </row>
    <row r="80">
      <c r="A80" s="396"/>
      <c r="B80" s="17"/>
      <c r="C80" s="19"/>
      <c r="D80" s="251"/>
      <c r="E80" s="17"/>
      <c r="F80" s="19"/>
      <c r="G80" s="17"/>
      <c r="H80" s="19"/>
      <c r="I80" s="230"/>
    </row>
    <row r="81">
      <c r="A81" s="405"/>
      <c r="B81" s="400"/>
      <c r="C81" s="10"/>
      <c r="D81" s="401"/>
      <c r="E81" s="400"/>
      <c r="F81" s="10"/>
      <c r="G81" s="400">
        <f>E81*0.11</f>
        <v>0</v>
      </c>
      <c r="H81" s="10"/>
      <c r="I81" s="230"/>
    </row>
    <row r="82">
      <c r="A82" s="396"/>
      <c r="B82" s="17"/>
      <c r="C82" s="19"/>
      <c r="D82" s="251"/>
      <c r="E82" s="17"/>
      <c r="F82" s="19"/>
      <c r="G82" s="17"/>
      <c r="H82" s="19"/>
      <c r="I82" s="230"/>
    </row>
    <row r="83">
      <c r="A83" s="405"/>
      <c r="B83" s="400"/>
      <c r="C83" s="10"/>
      <c r="D83" s="401"/>
      <c r="E83" s="400"/>
      <c r="F83" s="10"/>
      <c r="G83" s="400">
        <f>E83*0.11</f>
        <v>0</v>
      </c>
      <c r="H83" s="10"/>
      <c r="I83" s="230"/>
    </row>
    <row r="84">
      <c r="A84" s="396"/>
      <c r="B84" s="17"/>
      <c r="C84" s="19"/>
      <c r="D84" s="251"/>
      <c r="E84" s="17"/>
      <c r="F84" s="19"/>
      <c r="G84" s="17"/>
      <c r="H84" s="19"/>
      <c r="I84" s="230"/>
    </row>
    <row r="85">
      <c r="A85" s="399"/>
      <c r="B85" s="400"/>
      <c r="C85" s="10"/>
      <c r="D85" s="401"/>
      <c r="E85" s="400"/>
      <c r="F85" s="10"/>
      <c r="G85" s="400">
        <f>E85*0.11</f>
        <v>0</v>
      </c>
      <c r="H85" s="10"/>
      <c r="I85" s="230"/>
    </row>
    <row r="86">
      <c r="A86" s="396"/>
      <c r="B86" s="17"/>
      <c r="C86" s="19"/>
      <c r="D86" s="251"/>
      <c r="E86" s="17"/>
      <c r="F86" s="19"/>
      <c r="G86" s="17"/>
      <c r="H86" s="19"/>
      <c r="I86" s="230"/>
    </row>
    <row r="87">
      <c r="A87" s="405"/>
      <c r="B87" s="400"/>
      <c r="C87" s="10"/>
      <c r="D87" s="401"/>
      <c r="E87" s="400"/>
      <c r="F87" s="10"/>
      <c r="G87" s="400">
        <f>E87*0.11</f>
        <v>0</v>
      </c>
      <c r="H87" s="10"/>
      <c r="I87" s="230"/>
    </row>
    <row r="88">
      <c r="A88" s="396"/>
      <c r="B88" s="17"/>
      <c r="C88" s="19"/>
      <c r="D88" s="251"/>
      <c r="E88" s="17"/>
      <c r="F88" s="19"/>
      <c r="G88" s="17"/>
      <c r="H88" s="19"/>
      <c r="I88" s="230"/>
    </row>
    <row r="89">
      <c r="A89" s="405"/>
      <c r="B89" s="400"/>
      <c r="C89" s="10"/>
      <c r="D89" s="401"/>
      <c r="E89" s="400"/>
      <c r="F89" s="10"/>
      <c r="G89" s="400">
        <f>E89*0.11</f>
        <v>0</v>
      </c>
      <c r="H89" s="10"/>
      <c r="I89" s="230"/>
    </row>
    <row r="90">
      <c r="A90" s="396"/>
      <c r="B90" s="17"/>
      <c r="C90" s="19"/>
      <c r="D90" s="251"/>
      <c r="E90" s="17"/>
      <c r="F90" s="19"/>
      <c r="G90" s="17"/>
      <c r="H90" s="19"/>
      <c r="I90" s="230"/>
    </row>
    <row r="91">
      <c r="A91" s="399"/>
      <c r="B91" s="400"/>
      <c r="C91" s="10"/>
      <c r="D91" s="401"/>
      <c r="E91" s="400"/>
      <c r="F91" s="10"/>
      <c r="G91" s="400">
        <f>E91*0.11</f>
        <v>0</v>
      </c>
      <c r="H91" s="10"/>
      <c r="I91" s="230"/>
    </row>
    <row r="92">
      <c r="A92" s="396"/>
      <c r="B92" s="17"/>
      <c r="C92" s="19"/>
      <c r="D92" s="251"/>
      <c r="E92" s="17"/>
      <c r="F92" s="19"/>
      <c r="G92" s="17"/>
      <c r="H92" s="19"/>
      <c r="I92" s="230"/>
    </row>
    <row r="93">
      <c r="A93" s="405"/>
      <c r="B93" s="400"/>
      <c r="C93" s="10"/>
      <c r="D93" s="401"/>
      <c r="E93" s="400"/>
      <c r="F93" s="10"/>
      <c r="G93" s="400">
        <f>E93*0.11</f>
        <v>0</v>
      </c>
      <c r="H93" s="10"/>
      <c r="I93" s="230"/>
    </row>
    <row r="94">
      <c r="A94" s="396"/>
      <c r="B94" s="17"/>
      <c r="C94" s="19"/>
      <c r="D94" s="251"/>
      <c r="E94" s="17"/>
      <c r="F94" s="19"/>
      <c r="G94" s="17"/>
      <c r="H94" s="19"/>
      <c r="I94" s="230"/>
    </row>
    <row r="95">
      <c r="A95" s="405"/>
      <c r="B95" s="400"/>
      <c r="C95" s="10"/>
      <c r="D95" s="401"/>
      <c r="E95" s="400"/>
      <c r="F95" s="10"/>
      <c r="G95" s="400">
        <f>E95*0.11</f>
        <v>0</v>
      </c>
      <c r="H95" s="10"/>
      <c r="I95" s="230"/>
    </row>
    <row r="96">
      <c r="A96" s="396"/>
      <c r="B96" s="17"/>
      <c r="C96" s="19"/>
      <c r="D96" s="251"/>
      <c r="E96" s="17"/>
      <c r="F96" s="19"/>
      <c r="G96" s="17"/>
      <c r="H96" s="19"/>
      <c r="I96" s="230"/>
    </row>
    <row r="97">
      <c r="A97" s="399"/>
      <c r="B97" s="400"/>
      <c r="C97" s="10"/>
      <c r="D97" s="401"/>
      <c r="E97" s="400"/>
      <c r="F97" s="10"/>
      <c r="G97" s="400">
        <f>E97*0.11</f>
        <v>0</v>
      </c>
      <c r="H97" s="10"/>
      <c r="I97" s="230"/>
    </row>
    <row r="98">
      <c r="A98" s="396"/>
      <c r="B98" s="17"/>
      <c r="C98" s="19"/>
      <c r="D98" s="251"/>
      <c r="E98" s="17"/>
      <c r="F98" s="19"/>
      <c r="G98" s="17"/>
      <c r="H98" s="19"/>
      <c r="I98" s="230"/>
    </row>
    <row r="99">
      <c r="A99" s="405"/>
      <c r="B99" s="400"/>
      <c r="C99" s="10"/>
      <c r="D99" s="401"/>
      <c r="E99" s="400"/>
      <c r="F99" s="10"/>
      <c r="G99" s="400">
        <f>E99*0.11</f>
        <v>0</v>
      </c>
      <c r="H99" s="10"/>
      <c r="I99" s="230"/>
    </row>
    <row r="100">
      <c r="A100" s="396"/>
      <c r="B100" s="17"/>
      <c r="C100" s="19"/>
      <c r="D100" s="251"/>
      <c r="E100" s="17"/>
      <c r="F100" s="19"/>
      <c r="G100" s="17"/>
      <c r="H100" s="19"/>
      <c r="I100" s="230"/>
    </row>
    <row r="101">
      <c r="A101" s="405"/>
      <c r="B101" s="400"/>
      <c r="C101" s="10"/>
      <c r="D101" s="401"/>
      <c r="E101" s="400"/>
      <c r="F101" s="10"/>
      <c r="G101" s="400">
        <f>E101*0.11</f>
        <v>0</v>
      </c>
      <c r="H101" s="10"/>
      <c r="I101" s="230"/>
    </row>
    <row r="102">
      <c r="A102" s="396"/>
      <c r="B102" s="17"/>
      <c r="C102" s="19"/>
      <c r="D102" s="251"/>
      <c r="E102" s="17"/>
      <c r="F102" s="19"/>
      <c r="G102" s="17"/>
      <c r="H102" s="19"/>
      <c r="I102" s="230"/>
    </row>
    <row r="103">
      <c r="A103" s="399"/>
      <c r="B103" s="400"/>
      <c r="C103" s="10"/>
      <c r="D103" s="401"/>
      <c r="E103" s="400"/>
      <c r="F103" s="10"/>
      <c r="G103" s="400">
        <f>E103*0.11</f>
        <v>0</v>
      </c>
      <c r="H103" s="10"/>
      <c r="I103" s="230"/>
    </row>
    <row r="104">
      <c r="A104" s="396"/>
      <c r="B104" s="17"/>
      <c r="C104" s="19"/>
      <c r="D104" s="251"/>
      <c r="E104" s="17"/>
      <c r="F104" s="19"/>
      <c r="G104" s="17"/>
      <c r="H104" s="19"/>
      <c r="I104" s="230"/>
    </row>
    <row r="105">
      <c r="A105" s="405"/>
      <c r="B105" s="400"/>
      <c r="C105" s="10"/>
      <c r="D105" s="401"/>
      <c r="E105" s="400"/>
      <c r="F105" s="10"/>
      <c r="G105" s="400">
        <f>E105*0.11</f>
        <v>0</v>
      </c>
      <c r="H105" s="10"/>
      <c r="I105" s="230"/>
    </row>
    <row r="106">
      <c r="A106" s="396"/>
      <c r="B106" s="17"/>
      <c r="C106" s="19"/>
      <c r="D106" s="251"/>
      <c r="E106" s="17"/>
      <c r="F106" s="19"/>
      <c r="G106" s="17"/>
      <c r="H106" s="19"/>
      <c r="I106" s="230"/>
    </row>
    <row r="107">
      <c r="A107" s="405"/>
      <c r="B107" s="400"/>
      <c r="C107" s="10"/>
      <c r="D107" s="401"/>
      <c r="E107" s="400"/>
      <c r="F107" s="10"/>
      <c r="G107" s="400">
        <f>E107*0.11</f>
        <v>0</v>
      </c>
      <c r="H107" s="10"/>
      <c r="I107" s="230"/>
    </row>
    <row r="108">
      <c r="A108" s="396"/>
      <c r="B108" s="17"/>
      <c r="C108" s="19"/>
      <c r="D108" s="251"/>
      <c r="E108" s="17"/>
      <c r="F108" s="19"/>
      <c r="G108" s="17"/>
      <c r="H108" s="19"/>
      <c r="I108" s="230"/>
    </row>
    <row r="109">
      <c r="A109" s="399"/>
      <c r="B109" s="400"/>
      <c r="C109" s="10"/>
      <c r="D109" s="401"/>
      <c r="E109" s="400"/>
      <c r="F109" s="10"/>
      <c r="G109" s="400">
        <f>E109*0.11</f>
        <v>0</v>
      </c>
      <c r="H109" s="10"/>
      <c r="I109" s="230"/>
    </row>
    <row r="110">
      <c r="A110" s="396"/>
      <c r="B110" s="17"/>
      <c r="C110" s="19"/>
      <c r="D110" s="251"/>
      <c r="E110" s="17"/>
      <c r="F110" s="19"/>
      <c r="G110" s="17"/>
      <c r="H110" s="19"/>
      <c r="I110" s="230"/>
    </row>
    <row r="111">
      <c r="A111" s="405"/>
      <c r="B111" s="400"/>
      <c r="C111" s="10"/>
      <c r="D111" s="401"/>
      <c r="E111" s="400"/>
      <c r="F111" s="10"/>
      <c r="G111" s="400">
        <f>E111*0.11</f>
        <v>0</v>
      </c>
      <c r="H111" s="10"/>
      <c r="I111" s="230"/>
    </row>
    <row r="112">
      <c r="A112" s="396"/>
      <c r="B112" s="17"/>
      <c r="C112" s="19"/>
      <c r="D112" s="251"/>
      <c r="E112" s="17"/>
      <c r="F112" s="19"/>
      <c r="G112" s="17"/>
      <c r="H112" s="19"/>
      <c r="I112" s="230"/>
    </row>
    <row r="113">
      <c r="A113" s="405"/>
      <c r="B113" s="400"/>
      <c r="C113" s="10"/>
      <c r="D113" s="401"/>
      <c r="E113" s="400"/>
      <c r="F113" s="10"/>
      <c r="G113" s="400">
        <f>E113*0.11</f>
        <v>0</v>
      </c>
      <c r="H113" s="10"/>
      <c r="I113" s="230"/>
    </row>
    <row r="114">
      <c r="A114" s="396"/>
      <c r="B114" s="17"/>
      <c r="C114" s="19"/>
      <c r="D114" s="251"/>
      <c r="E114" s="17"/>
      <c r="F114" s="19"/>
      <c r="G114" s="17"/>
      <c r="H114" s="19"/>
      <c r="I114" s="230"/>
    </row>
    <row r="115">
      <c r="A115" s="399"/>
      <c r="B115" s="400"/>
      <c r="C115" s="10"/>
      <c r="D115" s="401"/>
      <c r="E115" s="400"/>
      <c r="F115" s="10"/>
      <c r="G115" s="400">
        <f>E115*0.11</f>
        <v>0</v>
      </c>
      <c r="H115" s="10"/>
      <c r="I115" s="230"/>
    </row>
    <row r="116">
      <c r="A116" s="396"/>
      <c r="B116" s="17"/>
      <c r="C116" s="19"/>
      <c r="D116" s="251"/>
      <c r="E116" s="17"/>
      <c r="F116" s="19"/>
      <c r="G116" s="17"/>
      <c r="H116" s="19"/>
      <c r="I116" s="230"/>
    </row>
    <row r="117">
      <c r="A117" s="405"/>
      <c r="B117" s="400"/>
      <c r="C117" s="10"/>
      <c r="D117" s="401"/>
      <c r="E117" s="400"/>
      <c r="F117" s="10"/>
      <c r="G117" s="400">
        <f>E117*0.11</f>
        <v>0</v>
      </c>
      <c r="H117" s="10"/>
      <c r="I117" s="230"/>
    </row>
    <row r="118">
      <c r="A118" s="396"/>
      <c r="B118" s="17"/>
      <c r="C118" s="19"/>
      <c r="D118" s="251"/>
      <c r="E118" s="17"/>
      <c r="F118" s="19"/>
      <c r="G118" s="17"/>
      <c r="H118" s="19"/>
      <c r="I118" s="230"/>
    </row>
    <row r="119">
      <c r="A119" s="405"/>
      <c r="B119" s="400"/>
      <c r="C119" s="10"/>
      <c r="D119" s="401"/>
      <c r="E119" s="400"/>
      <c r="F119" s="10"/>
      <c r="G119" s="400">
        <f>E119*0.11</f>
        <v>0</v>
      </c>
      <c r="H119" s="10"/>
      <c r="I119" s="230"/>
    </row>
    <row r="120">
      <c r="A120" s="396"/>
      <c r="B120" s="17"/>
      <c r="C120" s="19"/>
      <c r="D120" s="251"/>
      <c r="E120" s="17"/>
      <c r="F120" s="19"/>
      <c r="G120" s="17"/>
      <c r="H120" s="19"/>
      <c r="I120" s="230"/>
    </row>
    <row r="121">
      <c r="A121" s="399"/>
      <c r="B121" s="400"/>
      <c r="C121" s="10"/>
      <c r="D121" s="401"/>
      <c r="E121" s="400"/>
      <c r="F121" s="10"/>
      <c r="G121" s="400">
        <f>E121*0.11</f>
        <v>0</v>
      </c>
      <c r="H121" s="10"/>
      <c r="I121" s="230"/>
    </row>
    <row r="122">
      <c r="A122" s="396"/>
      <c r="B122" s="17"/>
      <c r="C122" s="19"/>
      <c r="D122" s="251"/>
      <c r="E122" s="17"/>
      <c r="F122" s="19"/>
      <c r="G122" s="17"/>
      <c r="H122" s="19"/>
      <c r="I122" s="230"/>
    </row>
    <row r="123">
      <c r="A123" s="405"/>
      <c r="B123" s="400"/>
      <c r="C123" s="10"/>
      <c r="D123" s="401"/>
      <c r="E123" s="400"/>
      <c r="F123" s="10"/>
      <c r="G123" s="400">
        <f>E123*0.11</f>
        <v>0</v>
      </c>
      <c r="H123" s="10"/>
      <c r="I123" s="230"/>
    </row>
    <row r="124" ht="24.0" customHeight="1">
      <c r="A124" s="396"/>
      <c r="B124" s="17"/>
      <c r="C124" s="19"/>
      <c r="D124" s="251"/>
      <c r="E124" s="17"/>
      <c r="F124" s="19"/>
      <c r="G124" s="17"/>
      <c r="H124" s="19"/>
      <c r="I124" s="230"/>
    </row>
    <row r="125">
      <c r="A125" s="405"/>
      <c r="B125" s="400"/>
      <c r="C125" s="10"/>
      <c r="D125" s="401"/>
      <c r="E125" s="400"/>
      <c r="F125" s="10"/>
      <c r="G125" s="400">
        <f>E125*0.11</f>
        <v>0</v>
      </c>
      <c r="H125" s="10"/>
      <c r="I125" s="230"/>
    </row>
    <row r="126">
      <c r="A126" s="396"/>
      <c r="B126" s="17"/>
      <c r="C126" s="19"/>
      <c r="D126" s="251"/>
      <c r="E126" s="17"/>
      <c r="F126" s="19"/>
      <c r="G126" s="17"/>
      <c r="H126" s="19"/>
      <c r="I126" s="230"/>
    </row>
    <row r="127">
      <c r="A127" s="399"/>
      <c r="B127" s="400"/>
      <c r="C127" s="10"/>
      <c r="D127" s="401"/>
      <c r="E127" s="400"/>
      <c r="F127" s="10"/>
      <c r="G127" s="400">
        <f>E127*0.11</f>
        <v>0</v>
      </c>
      <c r="H127" s="10"/>
      <c r="I127" s="230"/>
    </row>
    <row r="128">
      <c r="A128" s="396"/>
      <c r="B128" s="17"/>
      <c r="C128" s="19"/>
      <c r="D128" s="251"/>
      <c r="E128" s="17"/>
      <c r="F128" s="19"/>
      <c r="G128" s="17"/>
      <c r="H128" s="19"/>
      <c r="I128" s="230"/>
    </row>
    <row r="129">
      <c r="A129" s="405"/>
      <c r="B129" s="400"/>
      <c r="C129" s="10"/>
      <c r="D129" s="401"/>
      <c r="E129" s="400"/>
      <c r="F129" s="10"/>
      <c r="G129" s="400">
        <f>E129*0.11</f>
        <v>0</v>
      </c>
      <c r="H129" s="10"/>
      <c r="I129" s="230"/>
    </row>
    <row r="130">
      <c r="A130" s="396"/>
      <c r="B130" s="17"/>
      <c r="C130" s="19"/>
      <c r="D130" s="251"/>
      <c r="E130" s="17"/>
      <c r="F130" s="19"/>
      <c r="G130" s="17"/>
      <c r="H130" s="19"/>
      <c r="I130" s="230"/>
    </row>
    <row r="131">
      <c r="A131" s="405"/>
      <c r="B131" s="400"/>
      <c r="C131" s="10"/>
      <c r="D131" s="401"/>
      <c r="E131" s="400"/>
      <c r="F131" s="10"/>
      <c r="G131" s="400">
        <f>E131*0.11</f>
        <v>0</v>
      </c>
      <c r="H131" s="10"/>
      <c r="I131" s="230"/>
    </row>
    <row r="132">
      <c r="A132" s="396"/>
      <c r="B132" s="17"/>
      <c r="C132" s="19"/>
      <c r="D132" s="251"/>
      <c r="E132" s="17"/>
      <c r="F132" s="19"/>
      <c r="G132" s="17"/>
      <c r="H132" s="19"/>
      <c r="I132" s="230"/>
    </row>
    <row r="133">
      <c r="A133" s="407"/>
      <c r="B133" s="400"/>
      <c r="C133" s="10"/>
      <c r="D133" s="401"/>
      <c r="E133" s="400"/>
      <c r="F133" s="10"/>
      <c r="G133" s="400">
        <f>E133*0.11</f>
        <v>0</v>
      </c>
      <c r="H133" s="10"/>
      <c r="I133" s="230"/>
    </row>
    <row r="134">
      <c r="A134" s="396"/>
      <c r="B134" s="17"/>
      <c r="C134" s="19"/>
      <c r="D134" s="251"/>
      <c r="E134" s="17"/>
      <c r="F134" s="19"/>
      <c r="G134" s="17"/>
      <c r="H134" s="19"/>
      <c r="I134" s="230"/>
    </row>
    <row r="135">
      <c r="A135" s="405"/>
      <c r="B135" s="400"/>
      <c r="C135" s="10"/>
      <c r="D135" s="401"/>
      <c r="E135" s="400"/>
      <c r="F135" s="10"/>
      <c r="G135" s="400">
        <f>E135*0.11</f>
        <v>0</v>
      </c>
      <c r="H135" s="10"/>
      <c r="I135" s="230"/>
    </row>
    <row r="136">
      <c r="A136" s="396"/>
      <c r="B136" s="17"/>
      <c r="C136" s="19"/>
      <c r="D136" s="251"/>
      <c r="E136" s="17"/>
      <c r="F136" s="19"/>
      <c r="G136" s="17"/>
      <c r="H136" s="19"/>
      <c r="I136" s="230"/>
    </row>
    <row r="137">
      <c r="A137" s="405"/>
      <c r="B137" s="400"/>
      <c r="C137" s="10"/>
      <c r="D137" s="401"/>
      <c r="E137" s="400"/>
      <c r="F137" s="10"/>
      <c r="G137" s="400">
        <f>E137*0.11</f>
        <v>0</v>
      </c>
      <c r="H137" s="10"/>
      <c r="I137" s="230"/>
    </row>
    <row r="138">
      <c r="A138" s="396"/>
      <c r="B138" s="17"/>
      <c r="C138" s="19"/>
      <c r="D138" s="251"/>
      <c r="E138" s="17"/>
      <c r="F138" s="19"/>
      <c r="G138" s="17"/>
      <c r="H138" s="19"/>
      <c r="I138" s="230"/>
    </row>
    <row r="139">
      <c r="A139" s="405"/>
      <c r="B139" s="400"/>
      <c r="C139" s="10"/>
      <c r="D139" s="401"/>
      <c r="E139" s="400"/>
      <c r="F139" s="10"/>
      <c r="G139" s="400">
        <f>E139*0.11</f>
        <v>0</v>
      </c>
      <c r="H139" s="10"/>
      <c r="I139" s="230"/>
    </row>
    <row r="140">
      <c r="A140" s="396"/>
      <c r="B140" s="17"/>
      <c r="C140" s="19"/>
      <c r="D140" s="251"/>
      <c r="E140" s="17"/>
      <c r="F140" s="19"/>
      <c r="G140" s="17"/>
      <c r="H140" s="19"/>
      <c r="I140" s="230"/>
    </row>
    <row r="141">
      <c r="A141" s="405"/>
      <c r="B141" s="400"/>
      <c r="C141" s="10"/>
      <c r="D141" s="401"/>
      <c r="E141" s="400"/>
      <c r="F141" s="10"/>
      <c r="G141" s="400">
        <f>E141*0.11</f>
        <v>0</v>
      </c>
      <c r="H141" s="10"/>
      <c r="I141" s="230"/>
    </row>
    <row r="142">
      <c r="A142" s="396"/>
      <c r="B142" s="17"/>
      <c r="C142" s="19"/>
      <c r="D142" s="251"/>
      <c r="E142" s="17"/>
      <c r="F142" s="19"/>
      <c r="G142" s="17"/>
      <c r="H142" s="19"/>
      <c r="I142" s="230"/>
    </row>
    <row r="143">
      <c r="A143" s="407"/>
      <c r="B143" s="408"/>
      <c r="C143" s="15"/>
      <c r="D143" s="401"/>
      <c r="E143" s="408"/>
      <c r="F143" s="15"/>
      <c r="G143" s="400">
        <f>E143*0.11</f>
        <v>0</v>
      </c>
      <c r="H143" s="10"/>
      <c r="I143" s="230"/>
    </row>
    <row r="144">
      <c r="A144" s="396"/>
      <c r="B144" s="17"/>
      <c r="C144" s="19"/>
      <c r="D144" s="251"/>
      <c r="E144" s="17"/>
      <c r="F144" s="19"/>
      <c r="G144" s="17"/>
      <c r="H144" s="19"/>
      <c r="I144" s="230"/>
    </row>
    <row r="145">
      <c r="A145" s="405"/>
      <c r="B145" s="400"/>
      <c r="C145" s="10"/>
      <c r="D145" s="401"/>
      <c r="E145" s="400"/>
      <c r="F145" s="10"/>
      <c r="G145" s="400">
        <f>E145*0.11</f>
        <v>0</v>
      </c>
      <c r="H145" s="10"/>
      <c r="I145" s="230"/>
    </row>
    <row r="146">
      <c r="A146" s="396"/>
      <c r="B146" s="17"/>
      <c r="C146" s="19"/>
      <c r="D146" s="251"/>
      <c r="E146" s="17"/>
      <c r="F146" s="19"/>
      <c r="G146" s="17"/>
      <c r="H146" s="19"/>
      <c r="I146" s="230"/>
    </row>
    <row r="147">
      <c r="A147" s="405"/>
      <c r="B147" s="400"/>
      <c r="C147" s="10"/>
      <c r="D147" s="401"/>
      <c r="E147" s="400"/>
      <c r="F147" s="10"/>
      <c r="G147" s="400">
        <f>E147*0.11</f>
        <v>0</v>
      </c>
      <c r="H147" s="10"/>
      <c r="I147" s="230"/>
    </row>
    <row r="148">
      <c r="A148" s="396"/>
      <c r="B148" s="17"/>
      <c r="C148" s="19"/>
      <c r="D148" s="251"/>
      <c r="E148" s="17"/>
      <c r="F148" s="19"/>
      <c r="G148" s="17"/>
      <c r="H148" s="19"/>
      <c r="I148" s="230"/>
    </row>
    <row r="149">
      <c r="A149" s="405"/>
      <c r="B149" s="400"/>
      <c r="C149" s="10"/>
      <c r="D149" s="401"/>
      <c r="E149" s="400"/>
      <c r="F149" s="10"/>
      <c r="G149" s="400">
        <f>E149*0.11</f>
        <v>0</v>
      </c>
      <c r="H149" s="10"/>
      <c r="I149" s="230"/>
    </row>
    <row r="150">
      <c r="A150" s="396"/>
      <c r="B150" s="17"/>
      <c r="C150" s="19"/>
      <c r="D150" s="251"/>
      <c r="E150" s="17"/>
      <c r="F150" s="19"/>
      <c r="G150" s="17"/>
      <c r="H150" s="19"/>
      <c r="I150" s="230"/>
    </row>
    <row r="151">
      <c r="A151" s="407"/>
      <c r="B151" s="400"/>
      <c r="C151" s="10"/>
      <c r="D151" s="401"/>
      <c r="E151" s="400"/>
      <c r="F151" s="10"/>
      <c r="G151" s="400">
        <f>E151*0.11</f>
        <v>0</v>
      </c>
      <c r="H151" s="10"/>
      <c r="I151" s="230"/>
    </row>
    <row r="152">
      <c r="A152" s="396"/>
      <c r="B152" s="17"/>
      <c r="C152" s="19"/>
      <c r="D152" s="251"/>
      <c r="E152" s="17"/>
      <c r="F152" s="19"/>
      <c r="G152" s="17"/>
      <c r="H152" s="19"/>
      <c r="I152" s="230"/>
    </row>
    <row r="153">
      <c r="A153" s="405"/>
      <c r="B153" s="400"/>
      <c r="C153" s="10"/>
      <c r="D153" s="401"/>
      <c r="E153" s="400"/>
      <c r="F153" s="10"/>
      <c r="G153" s="400">
        <f>E153*0.11</f>
        <v>0</v>
      </c>
      <c r="H153" s="10"/>
      <c r="I153" s="230"/>
    </row>
    <row r="154">
      <c r="A154" s="396"/>
      <c r="B154" s="17"/>
      <c r="C154" s="19"/>
      <c r="D154" s="251"/>
      <c r="E154" s="17"/>
      <c r="F154" s="19"/>
      <c r="G154" s="17"/>
      <c r="H154" s="19"/>
      <c r="I154" s="230"/>
    </row>
    <row r="155">
      <c r="A155" s="405"/>
      <c r="B155" s="400"/>
      <c r="C155" s="10"/>
      <c r="D155" s="401"/>
      <c r="E155" s="400"/>
      <c r="F155" s="10"/>
      <c r="G155" s="400">
        <f>E155*0.11</f>
        <v>0</v>
      </c>
      <c r="H155" s="10"/>
      <c r="I155" s="230"/>
    </row>
    <row r="156">
      <c r="A156" s="396"/>
      <c r="B156" s="17"/>
      <c r="C156" s="19"/>
      <c r="D156" s="251"/>
      <c r="E156" s="17"/>
      <c r="F156" s="19"/>
      <c r="G156" s="17"/>
      <c r="H156" s="19"/>
      <c r="I156" s="230"/>
    </row>
    <row r="157">
      <c r="A157" s="407"/>
      <c r="B157" s="400"/>
      <c r="C157" s="10"/>
      <c r="D157" s="401"/>
      <c r="E157" s="400"/>
      <c r="F157" s="10"/>
      <c r="G157" s="400">
        <f>E157*0.11</f>
        <v>0</v>
      </c>
      <c r="H157" s="10"/>
      <c r="I157" s="230"/>
    </row>
    <row r="158">
      <c r="A158" s="396"/>
      <c r="B158" s="17"/>
      <c r="C158" s="19"/>
      <c r="D158" s="251"/>
      <c r="E158" s="17"/>
      <c r="F158" s="19"/>
      <c r="G158" s="17"/>
      <c r="H158" s="19"/>
      <c r="I158" s="230"/>
    </row>
    <row r="159">
      <c r="A159" s="405"/>
      <c r="B159" s="400"/>
      <c r="C159" s="10"/>
      <c r="D159" s="401"/>
      <c r="E159" s="400"/>
      <c r="F159" s="10"/>
      <c r="G159" s="400">
        <f>E159*0.11</f>
        <v>0</v>
      </c>
      <c r="H159" s="10"/>
      <c r="I159" s="230"/>
    </row>
    <row r="160">
      <c r="A160" s="396"/>
      <c r="B160" s="17"/>
      <c r="C160" s="19"/>
      <c r="D160" s="251"/>
      <c r="E160" s="17"/>
      <c r="F160" s="19"/>
      <c r="G160" s="17"/>
      <c r="H160" s="19"/>
      <c r="I160" s="230"/>
    </row>
    <row r="161">
      <c r="A161" s="405"/>
      <c r="B161" s="400"/>
      <c r="C161" s="10"/>
      <c r="D161" s="401"/>
      <c r="E161" s="400"/>
      <c r="F161" s="10"/>
      <c r="G161" s="400">
        <f>E161*0.11</f>
        <v>0</v>
      </c>
      <c r="H161" s="10"/>
      <c r="I161" s="230"/>
    </row>
    <row r="162">
      <c r="A162" s="396"/>
      <c r="B162" s="17"/>
      <c r="C162" s="19"/>
      <c r="D162" s="251"/>
      <c r="E162" s="17"/>
      <c r="F162" s="19"/>
      <c r="G162" s="17"/>
      <c r="H162" s="19"/>
      <c r="I162" s="230"/>
    </row>
    <row r="163">
      <c r="A163" s="405"/>
      <c r="B163" s="400"/>
      <c r="C163" s="10"/>
      <c r="D163" s="401"/>
      <c r="E163" s="400"/>
      <c r="F163" s="10"/>
      <c r="G163" s="400">
        <f>E163*0.11</f>
        <v>0</v>
      </c>
      <c r="H163" s="10"/>
      <c r="I163" s="230"/>
    </row>
    <row r="164">
      <c r="A164" s="396"/>
      <c r="B164" s="17"/>
      <c r="C164" s="19"/>
      <c r="D164" s="251"/>
      <c r="E164" s="17"/>
      <c r="F164" s="19"/>
      <c r="G164" s="17"/>
      <c r="H164" s="19"/>
      <c r="I164" s="230"/>
    </row>
    <row r="165">
      <c r="A165" s="405"/>
      <c r="B165" s="400"/>
      <c r="C165" s="10"/>
      <c r="D165" s="401"/>
      <c r="E165" s="400"/>
      <c r="F165" s="10"/>
      <c r="G165" s="400">
        <f>E165*0.11</f>
        <v>0</v>
      </c>
      <c r="H165" s="10"/>
      <c r="I165" s="230"/>
    </row>
    <row r="166">
      <c r="A166" s="396"/>
      <c r="B166" s="17"/>
      <c r="C166" s="19"/>
      <c r="D166" s="251"/>
      <c r="E166" s="17"/>
      <c r="F166" s="19"/>
      <c r="G166" s="17"/>
      <c r="H166" s="19"/>
      <c r="I166" s="230"/>
    </row>
    <row r="167">
      <c r="A167" s="405"/>
      <c r="B167" s="400"/>
      <c r="C167" s="10"/>
      <c r="D167" s="401"/>
      <c r="E167" s="400"/>
      <c r="F167" s="10"/>
      <c r="G167" s="400">
        <f>E167*0.11</f>
        <v>0</v>
      </c>
      <c r="H167" s="10"/>
      <c r="I167" s="230"/>
    </row>
    <row r="168">
      <c r="A168" s="396"/>
      <c r="B168" s="17"/>
      <c r="C168" s="19"/>
      <c r="D168" s="251"/>
      <c r="E168" s="17"/>
      <c r="F168" s="19"/>
      <c r="G168" s="17"/>
      <c r="H168" s="19"/>
      <c r="I168" s="230"/>
    </row>
    <row r="169">
      <c r="A169" s="405"/>
      <c r="B169" s="400"/>
      <c r="C169" s="10"/>
      <c r="D169" s="401"/>
      <c r="E169" s="400"/>
      <c r="F169" s="10"/>
      <c r="G169" s="400">
        <f>E169*0.11</f>
        <v>0</v>
      </c>
      <c r="H169" s="10"/>
      <c r="I169" s="230"/>
    </row>
    <row r="170">
      <c r="A170" s="396"/>
      <c r="B170" s="17"/>
      <c r="C170" s="19"/>
      <c r="D170" s="251"/>
      <c r="E170" s="17"/>
      <c r="F170" s="19"/>
      <c r="G170" s="17"/>
      <c r="H170" s="19"/>
      <c r="I170" s="230"/>
    </row>
    <row r="171">
      <c r="A171" s="405"/>
      <c r="B171" s="400"/>
      <c r="C171" s="10"/>
      <c r="D171" s="401"/>
      <c r="E171" s="400"/>
      <c r="F171" s="10"/>
      <c r="G171" s="400">
        <f>E171*0.11</f>
        <v>0</v>
      </c>
      <c r="H171" s="10"/>
      <c r="I171" s="230"/>
    </row>
    <row r="172">
      <c r="A172" s="396"/>
      <c r="B172" s="17"/>
      <c r="C172" s="19"/>
      <c r="D172" s="251"/>
      <c r="E172" s="17"/>
      <c r="F172" s="19"/>
      <c r="G172" s="17"/>
      <c r="H172" s="19"/>
      <c r="I172" s="230"/>
    </row>
    <row r="173">
      <c r="A173" s="405"/>
      <c r="B173" s="400"/>
      <c r="C173" s="10"/>
      <c r="D173" s="401"/>
      <c r="E173" s="400"/>
      <c r="F173" s="10"/>
      <c r="G173" s="400">
        <f>E173*0.11</f>
        <v>0</v>
      </c>
      <c r="H173" s="10"/>
      <c r="I173" s="230"/>
    </row>
    <row r="174">
      <c r="A174" s="396"/>
      <c r="B174" s="17"/>
      <c r="C174" s="19"/>
      <c r="D174" s="251"/>
      <c r="E174" s="17"/>
      <c r="F174" s="19"/>
      <c r="G174" s="17"/>
      <c r="H174" s="19"/>
      <c r="I174" s="230"/>
    </row>
    <row r="175">
      <c r="A175" s="405"/>
      <c r="B175" s="400"/>
      <c r="C175" s="10"/>
      <c r="D175" s="401"/>
      <c r="E175" s="400"/>
      <c r="F175" s="10"/>
      <c r="G175" s="400">
        <f>E175*0.11</f>
        <v>0</v>
      </c>
      <c r="H175" s="10"/>
      <c r="I175" s="230"/>
    </row>
    <row r="176">
      <c r="A176" s="396"/>
      <c r="B176" s="17"/>
      <c r="C176" s="19"/>
      <c r="D176" s="251"/>
      <c r="E176" s="17"/>
      <c r="F176" s="19"/>
      <c r="G176" s="17"/>
      <c r="H176" s="19"/>
      <c r="I176" s="230"/>
    </row>
    <row r="177">
      <c r="A177" s="405"/>
      <c r="B177" s="400"/>
      <c r="C177" s="10"/>
      <c r="D177" s="401"/>
      <c r="E177" s="400"/>
      <c r="F177" s="10"/>
      <c r="G177" s="400">
        <f>E177*0.11</f>
        <v>0</v>
      </c>
      <c r="H177" s="10"/>
      <c r="I177" s="230"/>
    </row>
    <row r="178">
      <c r="A178" s="396"/>
      <c r="B178" s="17"/>
      <c r="C178" s="19"/>
      <c r="D178" s="251"/>
      <c r="E178" s="17"/>
      <c r="F178" s="19"/>
      <c r="G178" s="17"/>
      <c r="H178" s="19"/>
      <c r="I178" s="230"/>
    </row>
    <row r="179">
      <c r="A179" s="405"/>
      <c r="B179" s="408"/>
      <c r="C179" s="15"/>
      <c r="D179" s="401"/>
      <c r="E179" s="408"/>
      <c r="F179" s="15"/>
      <c r="G179" s="400">
        <f>E179*0.11</f>
        <v>0</v>
      </c>
      <c r="H179" s="10"/>
      <c r="I179" s="230"/>
    </row>
    <row r="180">
      <c r="A180" s="396"/>
      <c r="B180" s="17"/>
      <c r="C180" s="19"/>
      <c r="D180" s="251"/>
      <c r="E180" s="17"/>
      <c r="F180" s="19"/>
      <c r="G180" s="17"/>
      <c r="H180" s="19"/>
      <c r="I180" s="230"/>
    </row>
    <row r="181">
      <c r="A181" s="405"/>
      <c r="B181" s="400"/>
      <c r="C181" s="10"/>
      <c r="D181" s="401"/>
      <c r="E181" s="400"/>
      <c r="F181" s="10"/>
      <c r="G181" s="400">
        <f>E181*0.11</f>
        <v>0</v>
      </c>
      <c r="H181" s="10"/>
      <c r="I181" s="230"/>
    </row>
    <row r="182">
      <c r="A182" s="396"/>
      <c r="B182" s="17"/>
      <c r="C182" s="19"/>
      <c r="D182" s="251"/>
      <c r="E182" s="17"/>
      <c r="F182" s="19"/>
      <c r="G182" s="17"/>
      <c r="H182" s="19"/>
      <c r="I182" s="230"/>
    </row>
    <row r="183">
      <c r="A183" s="405"/>
      <c r="B183" s="400"/>
      <c r="C183" s="10"/>
      <c r="D183" s="401"/>
      <c r="E183" s="400"/>
      <c r="F183" s="10"/>
      <c r="G183" s="400">
        <f>E183*0.11</f>
        <v>0</v>
      </c>
      <c r="H183" s="10"/>
      <c r="I183" s="230"/>
    </row>
    <row r="184">
      <c r="A184" s="396"/>
      <c r="B184" s="17"/>
      <c r="C184" s="19"/>
      <c r="D184" s="251"/>
      <c r="E184" s="17"/>
      <c r="F184" s="19"/>
      <c r="G184" s="17"/>
      <c r="H184" s="19"/>
      <c r="I184" s="230"/>
    </row>
    <row r="185">
      <c r="A185" s="405"/>
      <c r="B185" s="400"/>
      <c r="C185" s="10"/>
      <c r="D185" s="401"/>
      <c r="E185" s="400"/>
      <c r="F185" s="10"/>
      <c r="G185" s="400">
        <f>E185*0.11</f>
        <v>0</v>
      </c>
      <c r="H185" s="10"/>
      <c r="I185" s="230"/>
    </row>
    <row r="186">
      <c r="A186" s="396"/>
      <c r="B186" s="17"/>
      <c r="C186" s="19"/>
      <c r="D186" s="251"/>
      <c r="E186" s="17"/>
      <c r="F186" s="19"/>
      <c r="G186" s="17"/>
      <c r="H186" s="19"/>
      <c r="I186" s="230"/>
    </row>
    <row r="187">
      <c r="A187" s="405"/>
      <c r="B187" s="400"/>
      <c r="C187" s="10"/>
      <c r="D187" s="401"/>
      <c r="E187" s="400"/>
      <c r="F187" s="10"/>
      <c r="G187" s="400">
        <f>E187*0.11</f>
        <v>0</v>
      </c>
      <c r="H187" s="10"/>
      <c r="I187" s="230"/>
    </row>
    <row r="188">
      <c r="A188" s="396"/>
      <c r="B188" s="17"/>
      <c r="C188" s="19"/>
      <c r="D188" s="251"/>
      <c r="E188" s="17"/>
      <c r="F188" s="19"/>
      <c r="G188" s="17"/>
      <c r="H188" s="19"/>
      <c r="I188" s="230"/>
    </row>
    <row r="189">
      <c r="A189" s="405"/>
      <c r="B189" s="400"/>
      <c r="C189" s="10"/>
      <c r="D189" s="401"/>
      <c r="E189" s="400"/>
      <c r="F189" s="10"/>
      <c r="G189" s="400">
        <f>E189*0.11</f>
        <v>0</v>
      </c>
      <c r="H189" s="10"/>
      <c r="I189" s="230"/>
    </row>
    <row r="190">
      <c r="A190" s="396"/>
      <c r="B190" s="17"/>
      <c r="C190" s="19"/>
      <c r="D190" s="251"/>
      <c r="E190" s="17"/>
      <c r="F190" s="19"/>
      <c r="G190" s="17"/>
      <c r="H190" s="19"/>
      <c r="I190" s="230"/>
    </row>
    <row r="191">
      <c r="A191" s="405"/>
      <c r="B191" s="400"/>
      <c r="C191" s="10"/>
      <c r="D191" s="401"/>
      <c r="E191" s="400"/>
      <c r="F191" s="10"/>
      <c r="G191" s="400">
        <f>E191*0.11</f>
        <v>0</v>
      </c>
      <c r="H191" s="10"/>
      <c r="I191" s="230"/>
    </row>
    <row r="192">
      <c r="A192" s="396"/>
      <c r="B192" s="17"/>
      <c r="C192" s="19"/>
      <c r="D192" s="251"/>
      <c r="E192" s="17"/>
      <c r="F192" s="19"/>
      <c r="G192" s="17"/>
      <c r="H192" s="19"/>
      <c r="I192" s="230"/>
    </row>
    <row r="193">
      <c r="A193" s="405"/>
      <c r="B193" s="400"/>
      <c r="C193" s="10"/>
      <c r="D193" s="401"/>
      <c r="E193" s="400"/>
      <c r="F193" s="10"/>
      <c r="G193" s="400">
        <f>E193*0.11</f>
        <v>0</v>
      </c>
      <c r="H193" s="10"/>
      <c r="I193" s="230"/>
    </row>
    <row r="194">
      <c r="A194" s="396"/>
      <c r="B194" s="17"/>
      <c r="C194" s="19"/>
      <c r="D194" s="251"/>
      <c r="E194" s="17"/>
      <c r="F194" s="19"/>
      <c r="G194" s="17"/>
      <c r="H194" s="19"/>
      <c r="I194" s="230"/>
    </row>
    <row r="195">
      <c r="A195" s="405"/>
      <c r="B195" s="400"/>
      <c r="C195" s="10"/>
      <c r="D195" s="401"/>
      <c r="E195" s="400"/>
      <c r="F195" s="10"/>
      <c r="G195" s="400">
        <f>E195*0.11</f>
        <v>0</v>
      </c>
      <c r="H195" s="10"/>
      <c r="I195" s="230"/>
    </row>
    <row r="196">
      <c r="A196" s="396"/>
      <c r="B196" s="17"/>
      <c r="C196" s="19"/>
      <c r="D196" s="251"/>
      <c r="E196" s="17"/>
      <c r="F196" s="19"/>
      <c r="G196" s="17"/>
      <c r="H196" s="19"/>
      <c r="I196" s="230"/>
    </row>
    <row r="197">
      <c r="A197" s="405"/>
      <c r="B197" s="400"/>
      <c r="C197" s="10"/>
      <c r="D197" s="401"/>
      <c r="E197" s="400"/>
      <c r="F197" s="10"/>
      <c r="G197" s="400">
        <f>E197*0.11</f>
        <v>0</v>
      </c>
      <c r="H197" s="10"/>
      <c r="I197" s="230"/>
    </row>
    <row r="198">
      <c r="A198" s="396"/>
      <c r="B198" s="17"/>
      <c r="C198" s="19"/>
      <c r="D198" s="251"/>
      <c r="E198" s="17"/>
      <c r="F198" s="19"/>
      <c r="G198" s="17"/>
      <c r="H198" s="19"/>
      <c r="I198" s="230"/>
    </row>
    <row r="199">
      <c r="A199" s="405"/>
      <c r="B199" s="400"/>
      <c r="C199" s="10"/>
      <c r="D199" s="401"/>
      <c r="E199" s="400"/>
      <c r="F199" s="10"/>
      <c r="G199" s="400">
        <f>E199*0.11</f>
        <v>0</v>
      </c>
      <c r="H199" s="10"/>
      <c r="I199" s="230"/>
    </row>
    <row r="200">
      <c r="A200" s="396"/>
      <c r="B200" s="17"/>
      <c r="C200" s="19"/>
      <c r="D200" s="251"/>
      <c r="E200" s="17"/>
      <c r="F200" s="19"/>
      <c r="G200" s="17"/>
      <c r="H200" s="19"/>
      <c r="I200" s="230"/>
    </row>
    <row r="201">
      <c r="A201" s="405"/>
      <c r="B201" s="400"/>
      <c r="C201" s="10"/>
      <c r="D201" s="401"/>
      <c r="E201" s="400"/>
      <c r="F201" s="10"/>
      <c r="G201" s="400">
        <f>E201*0.11</f>
        <v>0</v>
      </c>
      <c r="H201" s="10"/>
      <c r="I201" s="230"/>
    </row>
    <row r="202">
      <c r="A202" s="396"/>
      <c r="B202" s="17"/>
      <c r="C202" s="19"/>
      <c r="D202" s="251"/>
      <c r="E202" s="17"/>
      <c r="F202" s="19"/>
      <c r="G202" s="17"/>
      <c r="H202" s="19"/>
      <c r="I202" s="230"/>
    </row>
    <row r="203">
      <c r="A203" s="405"/>
      <c r="B203" s="400"/>
      <c r="C203" s="10"/>
      <c r="D203" s="401"/>
      <c r="E203" s="400"/>
      <c r="F203" s="10"/>
      <c r="G203" s="400">
        <f>E203*0.11</f>
        <v>0</v>
      </c>
      <c r="H203" s="10"/>
      <c r="I203" s="230"/>
    </row>
    <row r="204">
      <c r="A204" s="396"/>
      <c r="B204" s="17"/>
      <c r="C204" s="19"/>
      <c r="D204" s="251"/>
      <c r="E204" s="17"/>
      <c r="F204" s="19"/>
      <c r="G204" s="17"/>
      <c r="H204" s="19"/>
      <c r="I204" s="230"/>
    </row>
    <row r="205">
      <c r="A205" s="405"/>
      <c r="B205" s="400"/>
      <c r="C205" s="10"/>
      <c r="D205" s="401"/>
      <c r="E205" s="400"/>
      <c r="F205" s="10"/>
      <c r="G205" s="400">
        <f>E205*0.11</f>
        <v>0</v>
      </c>
      <c r="H205" s="10"/>
      <c r="I205" s="230"/>
    </row>
    <row r="206">
      <c r="A206" s="396"/>
      <c r="B206" s="17"/>
      <c r="C206" s="19"/>
      <c r="D206" s="251"/>
      <c r="E206" s="17"/>
      <c r="F206" s="19"/>
      <c r="G206" s="17"/>
      <c r="H206" s="19"/>
      <c r="I206" s="230"/>
    </row>
    <row r="207">
      <c r="A207" s="407"/>
      <c r="B207" s="400"/>
      <c r="C207" s="10"/>
      <c r="D207" s="401"/>
      <c r="E207" s="400"/>
      <c r="F207" s="10"/>
      <c r="G207" s="400">
        <f>E207*0.11</f>
        <v>0</v>
      </c>
      <c r="H207" s="10"/>
      <c r="I207" s="230"/>
    </row>
    <row r="208">
      <c r="A208" s="396"/>
      <c r="B208" s="17"/>
      <c r="C208" s="19"/>
      <c r="D208" s="251"/>
      <c r="E208" s="17"/>
      <c r="F208" s="19"/>
      <c r="G208" s="17"/>
      <c r="H208" s="19"/>
      <c r="I208" s="230"/>
    </row>
    <row r="209">
      <c r="A209" s="405"/>
      <c r="B209" s="400"/>
      <c r="C209" s="10"/>
      <c r="D209" s="401"/>
      <c r="E209" s="400"/>
      <c r="F209" s="10"/>
      <c r="G209" s="400">
        <f>E209*0.11</f>
        <v>0</v>
      </c>
      <c r="H209" s="10"/>
      <c r="I209" s="230"/>
    </row>
    <row r="210">
      <c r="A210" s="396"/>
      <c r="B210" s="17"/>
      <c r="C210" s="19"/>
      <c r="D210" s="251"/>
      <c r="E210" s="17"/>
      <c r="F210" s="19"/>
      <c r="G210" s="17"/>
      <c r="H210" s="19"/>
      <c r="I210" s="230"/>
    </row>
    <row r="211">
      <c r="A211" s="405"/>
      <c r="B211" s="400"/>
      <c r="C211" s="10"/>
      <c r="D211" s="401"/>
      <c r="E211" s="400"/>
      <c r="F211" s="10"/>
      <c r="G211" s="400">
        <f>E211*0.11</f>
        <v>0</v>
      </c>
      <c r="H211" s="10"/>
      <c r="I211" s="230"/>
    </row>
    <row r="212">
      <c r="A212" s="396"/>
      <c r="B212" s="17"/>
      <c r="C212" s="19"/>
      <c r="D212" s="251"/>
      <c r="E212" s="17"/>
      <c r="F212" s="19"/>
      <c r="G212" s="17"/>
      <c r="H212" s="19"/>
      <c r="I212" s="230"/>
    </row>
    <row r="213">
      <c r="A213" s="405"/>
      <c r="B213" s="400"/>
      <c r="C213" s="10"/>
      <c r="D213" s="401"/>
      <c r="E213" s="400"/>
      <c r="F213" s="10"/>
      <c r="G213" s="400">
        <f>E213*0.11</f>
        <v>0</v>
      </c>
      <c r="H213" s="10"/>
      <c r="I213" s="230"/>
    </row>
    <row r="214">
      <c r="A214" s="396"/>
      <c r="B214" s="17"/>
      <c r="C214" s="19"/>
      <c r="D214" s="251"/>
      <c r="E214" s="17"/>
      <c r="F214" s="19"/>
      <c r="G214" s="17"/>
      <c r="H214" s="19"/>
      <c r="I214" s="230"/>
    </row>
    <row r="215">
      <c r="A215" s="409"/>
      <c r="B215" s="408"/>
      <c r="C215" s="15"/>
      <c r="D215" s="401"/>
      <c r="E215" s="408"/>
      <c r="F215" s="15"/>
      <c r="G215" s="400">
        <f>E215*0.11</f>
        <v>0</v>
      </c>
      <c r="H215" s="10"/>
      <c r="I215" s="230"/>
    </row>
    <row r="216">
      <c r="A216" s="396"/>
      <c r="B216" s="17"/>
      <c r="C216" s="19"/>
      <c r="D216" s="251"/>
      <c r="E216" s="17"/>
      <c r="F216" s="19"/>
      <c r="G216" s="17"/>
      <c r="H216" s="19"/>
      <c r="I216" s="230"/>
    </row>
    <row r="217">
      <c r="A217" s="405"/>
      <c r="B217" s="400"/>
      <c r="C217" s="10"/>
      <c r="D217" s="401"/>
      <c r="E217" s="400"/>
      <c r="F217" s="10"/>
      <c r="G217" s="400">
        <f>E217*0.11</f>
        <v>0</v>
      </c>
      <c r="H217" s="10"/>
      <c r="I217" s="230"/>
    </row>
    <row r="218">
      <c r="A218" s="396"/>
      <c r="B218" s="17"/>
      <c r="C218" s="19"/>
      <c r="D218" s="251"/>
      <c r="E218" s="17"/>
      <c r="F218" s="19"/>
      <c r="G218" s="17"/>
      <c r="H218" s="19"/>
      <c r="I218" s="230"/>
    </row>
    <row r="219">
      <c r="A219" s="405"/>
      <c r="B219" s="400"/>
      <c r="C219" s="10"/>
      <c r="D219" s="401"/>
      <c r="E219" s="400"/>
      <c r="F219" s="10"/>
      <c r="G219" s="400">
        <f>E219*0.11</f>
        <v>0</v>
      </c>
      <c r="H219" s="10"/>
      <c r="I219" s="230"/>
    </row>
    <row r="220">
      <c r="A220" s="396"/>
      <c r="B220" s="17"/>
      <c r="C220" s="19"/>
      <c r="D220" s="251"/>
      <c r="E220" s="17"/>
      <c r="F220" s="19"/>
      <c r="G220" s="17"/>
      <c r="H220" s="19"/>
      <c r="I220" s="230"/>
    </row>
    <row r="221">
      <c r="A221" s="405"/>
      <c r="B221" s="400"/>
      <c r="C221" s="10"/>
      <c r="D221" s="401"/>
      <c r="E221" s="400"/>
      <c r="F221" s="10"/>
      <c r="G221" s="400">
        <f>E221*0.11</f>
        <v>0</v>
      </c>
      <c r="H221" s="10"/>
      <c r="I221" s="230"/>
    </row>
    <row r="222">
      <c r="A222" s="396"/>
      <c r="B222" s="17"/>
      <c r="C222" s="19"/>
      <c r="D222" s="251"/>
      <c r="E222" s="17"/>
      <c r="F222" s="19"/>
      <c r="G222" s="17"/>
      <c r="H222" s="19"/>
      <c r="I222" s="230"/>
    </row>
    <row r="223">
      <c r="A223" s="405"/>
      <c r="B223" s="400"/>
      <c r="C223" s="10"/>
      <c r="D223" s="401"/>
      <c r="E223" s="400"/>
      <c r="F223" s="10"/>
      <c r="G223" s="400">
        <f>E223*0.11</f>
        <v>0</v>
      </c>
      <c r="H223" s="10"/>
      <c r="I223" s="230"/>
    </row>
    <row r="224">
      <c r="A224" s="396"/>
      <c r="B224" s="17"/>
      <c r="C224" s="19"/>
      <c r="D224" s="251"/>
      <c r="E224" s="17"/>
      <c r="F224" s="19"/>
      <c r="G224" s="17"/>
      <c r="H224" s="19"/>
      <c r="I224" s="230"/>
    </row>
    <row r="225">
      <c r="A225" s="405"/>
      <c r="B225" s="400"/>
      <c r="C225" s="10"/>
      <c r="D225" s="401"/>
      <c r="E225" s="400"/>
      <c r="F225" s="10"/>
      <c r="G225" s="400">
        <f>E225*0.11</f>
        <v>0</v>
      </c>
      <c r="H225" s="10"/>
      <c r="I225" s="230"/>
    </row>
    <row r="226">
      <c r="A226" s="396"/>
      <c r="B226" s="17"/>
      <c r="C226" s="19"/>
      <c r="D226" s="251"/>
      <c r="E226" s="17"/>
      <c r="F226" s="19"/>
      <c r="G226" s="17"/>
      <c r="H226" s="19"/>
      <c r="I226" s="230"/>
    </row>
    <row r="227">
      <c r="A227" s="405"/>
      <c r="B227" s="400"/>
      <c r="C227" s="10"/>
      <c r="D227" s="401"/>
      <c r="E227" s="400"/>
      <c r="F227" s="10"/>
      <c r="G227" s="400">
        <f>E227*0.11</f>
        <v>0</v>
      </c>
      <c r="H227" s="10"/>
      <c r="I227" s="230"/>
    </row>
    <row r="228">
      <c r="A228" s="396"/>
      <c r="B228" s="17"/>
      <c r="C228" s="19"/>
      <c r="D228" s="251"/>
      <c r="E228" s="17"/>
      <c r="F228" s="19"/>
      <c r="G228" s="17"/>
      <c r="H228" s="19"/>
      <c r="I228" s="230"/>
    </row>
    <row r="229">
      <c r="A229" s="405"/>
      <c r="B229" s="400"/>
      <c r="C229" s="10"/>
      <c r="D229" s="401"/>
      <c r="E229" s="400"/>
      <c r="F229" s="10"/>
      <c r="G229" s="400">
        <f>E229*0.11</f>
        <v>0</v>
      </c>
      <c r="H229" s="10"/>
      <c r="I229" s="230"/>
    </row>
    <row r="230">
      <c r="A230" s="396"/>
      <c r="B230" s="17"/>
      <c r="C230" s="19"/>
      <c r="D230" s="251"/>
      <c r="E230" s="17"/>
      <c r="F230" s="19"/>
      <c r="G230" s="17"/>
      <c r="H230" s="19"/>
      <c r="I230" s="230"/>
    </row>
    <row r="231">
      <c r="A231" s="405"/>
      <c r="B231" s="400"/>
      <c r="C231" s="10"/>
      <c r="D231" s="401"/>
      <c r="E231" s="400"/>
      <c r="F231" s="10"/>
      <c r="G231" s="400">
        <f>E231*0.11</f>
        <v>0</v>
      </c>
      <c r="H231" s="10"/>
      <c r="I231" s="230"/>
    </row>
    <row r="232">
      <c r="A232" s="396"/>
      <c r="B232" s="17"/>
      <c r="C232" s="19"/>
      <c r="D232" s="251"/>
      <c r="E232" s="17"/>
      <c r="F232" s="19"/>
      <c r="G232" s="17"/>
      <c r="H232" s="19"/>
      <c r="I232" s="230"/>
    </row>
    <row r="233">
      <c r="A233" s="405"/>
      <c r="B233" s="400"/>
      <c r="C233" s="10"/>
      <c r="D233" s="401"/>
      <c r="E233" s="400"/>
      <c r="F233" s="10"/>
      <c r="G233" s="400">
        <f>E233*0.11</f>
        <v>0</v>
      </c>
      <c r="H233" s="10"/>
      <c r="I233" s="230"/>
    </row>
    <row r="234">
      <c r="A234" s="396"/>
      <c r="B234" s="17"/>
      <c r="C234" s="19"/>
      <c r="D234" s="251"/>
      <c r="E234" s="17"/>
      <c r="F234" s="19"/>
      <c r="G234" s="17"/>
      <c r="H234" s="19"/>
      <c r="I234" s="230"/>
    </row>
    <row r="235">
      <c r="A235" s="405"/>
      <c r="B235" s="400"/>
      <c r="C235" s="10"/>
      <c r="D235" s="401"/>
      <c r="E235" s="400"/>
      <c r="F235" s="10"/>
      <c r="G235" s="400">
        <f>E235*0.11</f>
        <v>0</v>
      </c>
      <c r="H235" s="10"/>
      <c r="I235" s="230"/>
    </row>
    <row r="236">
      <c r="A236" s="396"/>
      <c r="B236" s="17"/>
      <c r="C236" s="19"/>
      <c r="D236" s="251"/>
      <c r="E236" s="17"/>
      <c r="F236" s="19"/>
      <c r="G236" s="17"/>
      <c r="H236" s="19"/>
      <c r="I236" s="230"/>
    </row>
    <row r="237">
      <c r="A237" s="405"/>
      <c r="B237" s="400"/>
      <c r="C237" s="10"/>
      <c r="D237" s="401"/>
      <c r="E237" s="400"/>
      <c r="F237" s="10"/>
      <c r="G237" s="400">
        <f>E237*0.11</f>
        <v>0</v>
      </c>
      <c r="H237" s="10"/>
      <c r="I237" s="230"/>
    </row>
    <row r="238">
      <c r="A238" s="396"/>
      <c r="B238" s="17"/>
      <c r="C238" s="19"/>
      <c r="D238" s="251"/>
      <c r="E238" s="17"/>
      <c r="F238" s="19"/>
      <c r="G238" s="17"/>
      <c r="H238" s="19"/>
      <c r="I238" s="230"/>
    </row>
    <row r="239">
      <c r="A239" s="405"/>
      <c r="B239" s="400"/>
      <c r="C239" s="10"/>
      <c r="D239" s="401"/>
      <c r="E239" s="400"/>
      <c r="F239" s="10"/>
      <c r="G239" s="400">
        <f>E239*0.11</f>
        <v>0</v>
      </c>
      <c r="H239" s="10"/>
      <c r="I239" s="230"/>
    </row>
    <row r="240">
      <c r="A240" s="396"/>
      <c r="B240" s="17"/>
      <c r="C240" s="19"/>
      <c r="D240" s="251"/>
      <c r="E240" s="17"/>
      <c r="F240" s="19"/>
      <c r="G240" s="17"/>
      <c r="H240" s="19"/>
      <c r="I240" s="230"/>
    </row>
    <row r="241">
      <c r="A241" s="405"/>
      <c r="B241" s="400"/>
      <c r="C241" s="10"/>
      <c r="D241" s="401"/>
      <c r="E241" s="400"/>
      <c r="F241" s="10"/>
      <c r="G241" s="400">
        <f>E241*0.11</f>
        <v>0</v>
      </c>
      <c r="H241" s="10"/>
      <c r="I241" s="230"/>
    </row>
    <row r="242">
      <c r="A242" s="396"/>
      <c r="B242" s="17"/>
      <c r="C242" s="19"/>
      <c r="D242" s="251"/>
      <c r="E242" s="17"/>
      <c r="F242" s="19"/>
      <c r="G242" s="17"/>
      <c r="H242" s="19"/>
      <c r="I242" s="230"/>
    </row>
    <row r="243">
      <c r="A243" s="405"/>
      <c r="B243" s="400"/>
      <c r="C243" s="10"/>
      <c r="D243" s="401"/>
      <c r="E243" s="400"/>
      <c r="F243" s="10"/>
      <c r="G243" s="400">
        <f>E243*0.11</f>
        <v>0</v>
      </c>
      <c r="H243" s="10"/>
      <c r="I243" s="230"/>
    </row>
    <row r="244">
      <c r="A244" s="396"/>
      <c r="B244" s="17"/>
      <c r="C244" s="19"/>
      <c r="D244" s="251"/>
      <c r="E244" s="17"/>
      <c r="F244" s="19"/>
      <c r="G244" s="17"/>
      <c r="H244" s="19"/>
      <c r="I244" s="230"/>
    </row>
    <row r="245">
      <c r="A245" s="405"/>
      <c r="B245" s="400"/>
      <c r="C245" s="10"/>
      <c r="D245" s="401"/>
      <c r="E245" s="400"/>
      <c r="F245" s="10"/>
      <c r="G245" s="400">
        <f>E245*0.11</f>
        <v>0</v>
      </c>
      <c r="H245" s="10"/>
      <c r="I245" s="230"/>
    </row>
    <row r="246">
      <c r="A246" s="396"/>
      <c r="B246" s="17"/>
      <c r="C246" s="19"/>
      <c r="D246" s="251"/>
      <c r="E246" s="17"/>
      <c r="F246" s="19"/>
      <c r="G246" s="17"/>
      <c r="H246" s="19"/>
      <c r="I246" s="230"/>
    </row>
    <row r="247">
      <c r="A247" s="405"/>
      <c r="B247" s="400"/>
      <c r="C247" s="10"/>
      <c r="D247" s="401"/>
      <c r="E247" s="400"/>
      <c r="F247" s="10"/>
      <c r="G247" s="400">
        <f>E247*0.11</f>
        <v>0</v>
      </c>
      <c r="H247" s="10"/>
      <c r="I247" s="230"/>
    </row>
    <row r="248">
      <c r="A248" s="396"/>
      <c r="B248" s="17"/>
      <c r="C248" s="19"/>
      <c r="D248" s="251"/>
      <c r="E248" s="17"/>
      <c r="F248" s="19"/>
      <c r="G248" s="17"/>
      <c r="H248" s="19"/>
      <c r="I248" s="230"/>
    </row>
    <row r="249">
      <c r="A249" s="405"/>
      <c r="B249" s="400"/>
      <c r="C249" s="10"/>
      <c r="D249" s="401"/>
      <c r="E249" s="400"/>
      <c r="F249" s="10"/>
      <c r="G249" s="400">
        <f>E249*0.11</f>
        <v>0</v>
      </c>
      <c r="H249" s="10"/>
      <c r="I249" s="230"/>
    </row>
    <row r="250">
      <c r="A250" s="396"/>
      <c r="B250" s="17"/>
      <c r="C250" s="19"/>
      <c r="D250" s="251"/>
      <c r="E250" s="17"/>
      <c r="F250" s="19"/>
      <c r="G250" s="17"/>
      <c r="H250" s="19"/>
      <c r="I250" s="230"/>
    </row>
    <row r="251">
      <c r="A251" s="405"/>
      <c r="B251" s="400"/>
      <c r="C251" s="10"/>
      <c r="D251" s="401"/>
      <c r="E251" s="400"/>
      <c r="F251" s="10"/>
      <c r="G251" s="400">
        <f>E251*0.11</f>
        <v>0</v>
      </c>
      <c r="H251" s="10"/>
      <c r="I251" s="230"/>
    </row>
    <row r="252">
      <c r="A252" s="396"/>
      <c r="B252" s="17"/>
      <c r="C252" s="19"/>
      <c r="D252" s="251"/>
      <c r="E252" s="17"/>
      <c r="F252" s="19"/>
      <c r="G252" s="17"/>
      <c r="H252" s="19"/>
      <c r="I252" s="230"/>
    </row>
    <row r="253">
      <c r="A253" s="405"/>
      <c r="B253" s="400"/>
      <c r="C253" s="10"/>
      <c r="D253" s="401"/>
      <c r="E253" s="400"/>
      <c r="F253" s="10"/>
      <c r="G253" s="400">
        <f>E253*0.11</f>
        <v>0</v>
      </c>
      <c r="H253" s="10"/>
      <c r="I253" s="230"/>
    </row>
    <row r="254">
      <c r="A254" s="396"/>
      <c r="B254" s="17"/>
      <c r="C254" s="19"/>
      <c r="D254" s="251"/>
      <c r="E254" s="17"/>
      <c r="F254" s="19"/>
      <c r="G254" s="17"/>
      <c r="H254" s="19"/>
      <c r="I254" s="230"/>
    </row>
    <row r="255">
      <c r="A255" s="405"/>
      <c r="B255" s="400"/>
      <c r="C255" s="10"/>
      <c r="D255" s="401"/>
      <c r="E255" s="400"/>
      <c r="F255" s="10"/>
      <c r="G255" s="400">
        <f>E255*0.11</f>
        <v>0</v>
      </c>
      <c r="H255" s="10"/>
      <c r="I255" s="230"/>
    </row>
    <row r="256">
      <c r="A256" s="396"/>
      <c r="B256" s="17"/>
      <c r="C256" s="19"/>
      <c r="D256" s="251"/>
      <c r="E256" s="17"/>
      <c r="F256" s="19"/>
      <c r="G256" s="17"/>
      <c r="H256" s="19"/>
      <c r="I256" s="230"/>
    </row>
    <row r="257">
      <c r="A257" s="405"/>
      <c r="B257" s="400"/>
      <c r="C257" s="10"/>
      <c r="D257" s="401"/>
      <c r="E257" s="400"/>
      <c r="F257" s="10"/>
      <c r="G257" s="400">
        <f>E257*0.11</f>
        <v>0</v>
      </c>
      <c r="H257" s="10"/>
      <c r="I257" s="230"/>
    </row>
    <row r="258">
      <c r="A258" s="396"/>
      <c r="B258" s="17"/>
      <c r="C258" s="19"/>
      <c r="D258" s="251"/>
      <c r="E258" s="17"/>
      <c r="F258" s="19"/>
      <c r="G258" s="17"/>
      <c r="H258" s="19"/>
      <c r="I258" s="230"/>
    </row>
    <row r="259">
      <c r="A259" s="405"/>
      <c r="B259" s="400"/>
      <c r="C259" s="10"/>
      <c r="D259" s="401"/>
      <c r="E259" s="400"/>
      <c r="F259" s="10"/>
      <c r="G259" s="400">
        <f>E259*0.11</f>
        <v>0</v>
      </c>
      <c r="H259" s="10"/>
      <c r="I259" s="230"/>
    </row>
    <row r="260">
      <c r="A260" s="396"/>
      <c r="B260" s="17"/>
      <c r="C260" s="19"/>
      <c r="D260" s="251"/>
      <c r="E260" s="17"/>
      <c r="F260" s="19"/>
      <c r="G260" s="17"/>
      <c r="H260" s="19"/>
      <c r="I260" s="230"/>
    </row>
    <row r="261">
      <c r="A261" s="405"/>
      <c r="B261" s="400"/>
      <c r="C261" s="10"/>
      <c r="D261" s="401"/>
      <c r="E261" s="400"/>
      <c r="F261" s="10"/>
      <c r="G261" s="400">
        <f>E261*0.11</f>
        <v>0</v>
      </c>
      <c r="H261" s="10"/>
      <c r="I261" s="230"/>
    </row>
    <row r="262">
      <c r="A262" s="396"/>
      <c r="B262" s="17"/>
      <c r="C262" s="19"/>
      <c r="D262" s="251"/>
      <c r="E262" s="17"/>
      <c r="F262" s="19"/>
      <c r="G262" s="17"/>
      <c r="H262" s="19"/>
      <c r="I262" s="230"/>
    </row>
    <row r="263">
      <c r="A263" s="405"/>
      <c r="B263" s="400"/>
      <c r="C263" s="10"/>
      <c r="D263" s="401"/>
      <c r="E263" s="400"/>
      <c r="F263" s="10"/>
      <c r="G263" s="400">
        <f>E263*0.11</f>
        <v>0</v>
      </c>
      <c r="H263" s="10"/>
      <c r="I263" s="230"/>
    </row>
    <row r="264">
      <c r="A264" s="396"/>
      <c r="B264" s="17"/>
      <c r="C264" s="19"/>
      <c r="D264" s="251"/>
      <c r="E264" s="17"/>
      <c r="F264" s="19"/>
      <c r="G264" s="17"/>
      <c r="H264" s="19"/>
      <c r="I264" s="230"/>
    </row>
    <row r="265">
      <c r="A265" s="405"/>
      <c r="B265" s="400"/>
      <c r="C265" s="10"/>
      <c r="D265" s="401"/>
      <c r="E265" s="400"/>
      <c r="F265" s="10"/>
      <c r="G265" s="400">
        <f>E265*0.11</f>
        <v>0</v>
      </c>
      <c r="H265" s="10"/>
      <c r="I265" s="230"/>
    </row>
    <row r="266">
      <c r="A266" s="396"/>
      <c r="B266" s="17"/>
      <c r="C266" s="19"/>
      <c r="D266" s="251"/>
      <c r="E266" s="17"/>
      <c r="F266" s="19"/>
      <c r="G266" s="17"/>
      <c r="H266" s="19"/>
      <c r="I266" s="230"/>
    </row>
    <row r="267">
      <c r="A267" s="405"/>
      <c r="B267" s="400"/>
      <c r="C267" s="10"/>
      <c r="D267" s="401"/>
      <c r="E267" s="400"/>
      <c r="F267" s="10"/>
      <c r="G267" s="400">
        <f>E267*0.11</f>
        <v>0</v>
      </c>
      <c r="H267" s="10"/>
      <c r="I267" s="230"/>
    </row>
    <row r="268">
      <c r="A268" s="396"/>
      <c r="B268" s="17"/>
      <c r="C268" s="19"/>
      <c r="D268" s="251"/>
      <c r="E268" s="17"/>
      <c r="F268" s="19"/>
      <c r="G268" s="17"/>
      <c r="H268" s="19"/>
      <c r="I268" s="230"/>
    </row>
    <row r="269">
      <c r="A269" s="405"/>
      <c r="B269" s="400"/>
      <c r="C269" s="10"/>
      <c r="D269" s="401"/>
      <c r="E269" s="400"/>
      <c r="F269" s="10"/>
      <c r="G269" s="400">
        <f>E269*0.11</f>
        <v>0</v>
      </c>
      <c r="H269" s="10"/>
      <c r="I269" s="230"/>
    </row>
    <row r="270">
      <c r="A270" s="396"/>
      <c r="B270" s="17"/>
      <c r="C270" s="19"/>
      <c r="D270" s="251"/>
      <c r="E270" s="17"/>
      <c r="F270" s="19"/>
      <c r="G270" s="17"/>
      <c r="H270" s="19"/>
      <c r="I270" s="230"/>
    </row>
    <row r="271">
      <c r="A271" s="405"/>
      <c r="B271" s="400"/>
      <c r="C271" s="10"/>
      <c r="D271" s="401"/>
      <c r="E271" s="400"/>
      <c r="F271" s="10"/>
      <c r="G271" s="400">
        <f>E271*0.11</f>
        <v>0</v>
      </c>
      <c r="H271" s="10"/>
      <c r="I271" s="230"/>
    </row>
    <row r="272">
      <c r="A272" s="396"/>
      <c r="B272" s="17"/>
      <c r="C272" s="19"/>
      <c r="D272" s="251"/>
      <c r="E272" s="17"/>
      <c r="F272" s="19"/>
      <c r="G272" s="17"/>
      <c r="H272" s="19"/>
      <c r="I272" s="230"/>
    </row>
    <row r="273">
      <c r="A273" s="405"/>
      <c r="B273" s="400"/>
      <c r="C273" s="10"/>
      <c r="D273" s="401"/>
      <c r="E273" s="400"/>
      <c r="F273" s="10"/>
      <c r="G273" s="400">
        <f>E273*0.11</f>
        <v>0</v>
      </c>
      <c r="H273" s="10"/>
      <c r="I273" s="230"/>
    </row>
    <row r="274">
      <c r="A274" s="396"/>
      <c r="B274" s="17"/>
      <c r="C274" s="19"/>
      <c r="D274" s="251"/>
      <c r="E274" s="17"/>
      <c r="F274" s="19"/>
      <c r="G274" s="17"/>
      <c r="H274" s="19"/>
      <c r="I274" s="230"/>
    </row>
    <row r="275">
      <c r="A275" s="405"/>
      <c r="B275" s="400"/>
      <c r="C275" s="10"/>
      <c r="D275" s="401"/>
      <c r="E275" s="400"/>
      <c r="F275" s="10"/>
      <c r="G275" s="400">
        <f>E275*0.11</f>
        <v>0</v>
      </c>
      <c r="H275" s="10"/>
      <c r="I275" s="230"/>
    </row>
    <row r="276">
      <c r="A276" s="396"/>
      <c r="B276" s="17"/>
      <c r="C276" s="19"/>
      <c r="D276" s="251"/>
      <c r="E276" s="17"/>
      <c r="F276" s="19"/>
      <c r="G276" s="17"/>
      <c r="H276" s="19"/>
      <c r="I276" s="230"/>
    </row>
    <row r="277">
      <c r="A277" s="405"/>
      <c r="B277" s="400"/>
      <c r="C277" s="10"/>
      <c r="D277" s="401"/>
      <c r="E277" s="400"/>
      <c r="F277" s="10"/>
      <c r="G277" s="400">
        <f>E277*0.11</f>
        <v>0</v>
      </c>
      <c r="H277" s="10"/>
      <c r="I277" s="230"/>
    </row>
    <row r="278">
      <c r="A278" s="396"/>
      <c r="B278" s="17"/>
      <c r="C278" s="19"/>
      <c r="D278" s="251"/>
      <c r="E278" s="17"/>
      <c r="F278" s="19"/>
      <c r="G278" s="17"/>
      <c r="H278" s="19"/>
      <c r="I278" s="230"/>
    </row>
    <row r="279">
      <c r="A279" s="405"/>
      <c r="B279" s="400"/>
      <c r="C279" s="10"/>
      <c r="D279" s="401"/>
      <c r="E279" s="400"/>
      <c r="F279" s="10"/>
      <c r="G279" s="400">
        <f>E279*0.11</f>
        <v>0</v>
      </c>
      <c r="H279" s="10"/>
      <c r="I279" s="230"/>
    </row>
    <row r="280">
      <c r="A280" s="396"/>
      <c r="B280" s="17"/>
      <c r="C280" s="19"/>
      <c r="D280" s="251"/>
      <c r="E280" s="17"/>
      <c r="F280" s="19"/>
      <c r="G280" s="17"/>
      <c r="H280" s="19"/>
      <c r="I280" s="230"/>
    </row>
    <row r="281">
      <c r="A281" s="405"/>
      <c r="B281" s="400"/>
      <c r="C281" s="10"/>
      <c r="D281" s="401"/>
      <c r="E281" s="400"/>
      <c r="F281" s="10"/>
      <c r="G281" s="400">
        <f>E281*0.11</f>
        <v>0</v>
      </c>
      <c r="H281" s="10"/>
      <c r="I281" s="230"/>
    </row>
    <row r="282">
      <c r="A282" s="396"/>
      <c r="B282" s="17"/>
      <c r="C282" s="19"/>
      <c r="D282" s="251"/>
      <c r="E282" s="17"/>
      <c r="F282" s="19"/>
      <c r="G282" s="17"/>
      <c r="H282" s="19"/>
      <c r="I282" s="230"/>
    </row>
    <row r="283">
      <c r="A283" s="405"/>
      <c r="B283" s="400"/>
      <c r="C283" s="10"/>
      <c r="D283" s="401"/>
      <c r="E283" s="400"/>
      <c r="F283" s="10"/>
      <c r="G283" s="400">
        <f>E283*0.11</f>
        <v>0</v>
      </c>
      <c r="H283" s="10"/>
      <c r="I283" s="230"/>
    </row>
    <row r="284">
      <c r="A284" s="396"/>
      <c r="B284" s="17"/>
      <c r="C284" s="19"/>
      <c r="D284" s="251"/>
      <c r="E284" s="17"/>
      <c r="F284" s="19"/>
      <c r="G284" s="17"/>
      <c r="H284" s="19"/>
      <c r="I284" s="230"/>
    </row>
    <row r="285">
      <c r="A285" s="405"/>
      <c r="B285" s="400"/>
      <c r="C285" s="10"/>
      <c r="D285" s="401"/>
      <c r="E285" s="400"/>
      <c r="F285" s="10"/>
      <c r="G285" s="400">
        <f>E285*0.11</f>
        <v>0</v>
      </c>
      <c r="H285" s="10"/>
      <c r="I285" s="230"/>
    </row>
    <row r="286">
      <c r="A286" s="396"/>
      <c r="B286" s="17"/>
      <c r="C286" s="19"/>
      <c r="D286" s="251"/>
      <c r="E286" s="17"/>
      <c r="F286" s="19"/>
      <c r="G286" s="17"/>
      <c r="H286" s="19"/>
      <c r="I286" s="230"/>
    </row>
    <row r="287">
      <c r="A287" s="405"/>
      <c r="B287" s="400"/>
      <c r="C287" s="10"/>
      <c r="D287" s="401"/>
      <c r="E287" s="400"/>
      <c r="F287" s="10"/>
      <c r="G287" s="400">
        <f>E287*0.11</f>
        <v>0</v>
      </c>
      <c r="H287" s="10"/>
      <c r="I287" s="230"/>
    </row>
    <row r="288">
      <c r="A288" s="396"/>
      <c r="B288" s="17"/>
      <c r="C288" s="19"/>
      <c r="D288" s="251"/>
      <c r="E288" s="17"/>
      <c r="F288" s="19"/>
      <c r="G288" s="17"/>
      <c r="H288" s="19"/>
      <c r="I288" s="230"/>
    </row>
    <row r="289">
      <c r="A289" s="405"/>
      <c r="B289" s="400"/>
      <c r="C289" s="10"/>
      <c r="D289" s="401"/>
      <c r="E289" s="400"/>
      <c r="F289" s="10"/>
      <c r="G289" s="400">
        <f>E289*0.11</f>
        <v>0</v>
      </c>
      <c r="H289" s="10"/>
      <c r="I289" s="230"/>
    </row>
    <row r="290">
      <c r="A290" s="396"/>
      <c r="B290" s="17"/>
      <c r="C290" s="19"/>
      <c r="D290" s="251"/>
      <c r="E290" s="17"/>
      <c r="F290" s="19"/>
      <c r="G290" s="17"/>
      <c r="H290" s="19"/>
      <c r="I290" s="230"/>
    </row>
    <row r="291">
      <c r="A291" s="405"/>
      <c r="B291" s="400"/>
      <c r="C291" s="10"/>
      <c r="D291" s="401"/>
      <c r="E291" s="400"/>
      <c r="F291" s="10"/>
      <c r="G291" s="400">
        <f>E291*0.11</f>
        <v>0</v>
      </c>
      <c r="H291" s="10"/>
      <c r="I291" s="230"/>
    </row>
    <row r="292">
      <c r="A292" s="396"/>
      <c r="B292" s="17"/>
      <c r="C292" s="19"/>
      <c r="D292" s="251"/>
      <c r="E292" s="17"/>
      <c r="F292" s="19"/>
      <c r="G292" s="17"/>
      <c r="H292" s="19"/>
      <c r="I292" s="230"/>
    </row>
    <row r="293">
      <c r="A293" s="405"/>
      <c r="B293" s="400"/>
      <c r="C293" s="10"/>
      <c r="D293" s="401"/>
      <c r="E293" s="400"/>
      <c r="F293" s="10"/>
      <c r="G293" s="400">
        <f>E293*0.11</f>
        <v>0</v>
      </c>
      <c r="H293" s="10"/>
      <c r="I293" s="230"/>
    </row>
    <row r="294">
      <c r="A294" s="396"/>
      <c r="B294" s="17"/>
      <c r="C294" s="19"/>
      <c r="D294" s="251"/>
      <c r="E294" s="17"/>
      <c r="F294" s="19"/>
      <c r="G294" s="17"/>
      <c r="H294" s="19"/>
      <c r="I294" s="230"/>
    </row>
    <row r="295">
      <c r="A295" s="405"/>
      <c r="B295" s="400"/>
      <c r="C295" s="10"/>
      <c r="D295" s="401"/>
      <c r="E295" s="400"/>
      <c r="F295" s="10"/>
      <c r="G295" s="400">
        <f>E295*0.11</f>
        <v>0</v>
      </c>
      <c r="H295" s="10"/>
      <c r="I295" s="230"/>
    </row>
    <row r="296">
      <c r="A296" s="396"/>
      <c r="B296" s="17"/>
      <c r="C296" s="19"/>
      <c r="D296" s="251"/>
      <c r="E296" s="17"/>
      <c r="F296" s="19"/>
      <c r="G296" s="17"/>
      <c r="H296" s="19"/>
      <c r="I296" s="230"/>
    </row>
    <row r="297">
      <c r="A297" s="405"/>
      <c r="B297" s="400"/>
      <c r="C297" s="10"/>
      <c r="D297" s="401"/>
      <c r="E297" s="400"/>
      <c r="F297" s="10"/>
      <c r="G297" s="400">
        <f>E297*0.11</f>
        <v>0</v>
      </c>
      <c r="H297" s="10"/>
      <c r="I297" s="230"/>
    </row>
    <row r="298">
      <c r="A298" s="396"/>
      <c r="B298" s="17"/>
      <c r="C298" s="19"/>
      <c r="D298" s="251"/>
      <c r="E298" s="17"/>
      <c r="F298" s="19"/>
      <c r="G298" s="17"/>
      <c r="H298" s="19"/>
      <c r="I298" s="230"/>
    </row>
    <row r="299">
      <c r="A299" s="405"/>
      <c r="B299" s="400"/>
      <c r="C299" s="10"/>
      <c r="D299" s="401"/>
      <c r="E299" s="400"/>
      <c r="F299" s="10"/>
      <c r="G299" s="400">
        <f>E299*0.11</f>
        <v>0</v>
      </c>
      <c r="H299" s="10"/>
      <c r="I299" s="230"/>
    </row>
    <row r="300">
      <c r="A300" s="396"/>
      <c r="B300" s="17"/>
      <c r="C300" s="19"/>
      <c r="D300" s="251"/>
      <c r="E300" s="17"/>
      <c r="F300" s="19"/>
      <c r="G300" s="17"/>
      <c r="H300" s="19"/>
      <c r="I300" s="230"/>
    </row>
    <row r="301">
      <c r="A301" s="405"/>
      <c r="B301" s="400"/>
      <c r="C301" s="10"/>
      <c r="D301" s="401"/>
      <c r="E301" s="400"/>
      <c r="F301" s="10"/>
      <c r="G301" s="400">
        <f>E301*0.11</f>
        <v>0</v>
      </c>
      <c r="H301" s="10"/>
      <c r="I301" s="230"/>
    </row>
    <row r="302">
      <c r="A302" s="396"/>
      <c r="B302" s="17"/>
      <c r="C302" s="19"/>
      <c r="D302" s="251"/>
      <c r="E302" s="17"/>
      <c r="F302" s="19"/>
      <c r="G302" s="17"/>
      <c r="H302" s="19"/>
      <c r="I302" s="230"/>
    </row>
    <row r="303">
      <c r="A303" s="405"/>
      <c r="B303" s="400"/>
      <c r="C303" s="10"/>
      <c r="D303" s="401"/>
      <c r="E303" s="400"/>
      <c r="F303" s="10"/>
      <c r="G303" s="410">
        <f>SUM(G7:H302)</f>
        <v>86.9</v>
      </c>
      <c r="H303" s="10"/>
      <c r="I303" s="230"/>
    </row>
    <row r="304">
      <c r="A304" s="396"/>
      <c r="B304" s="17"/>
      <c r="C304" s="19"/>
      <c r="D304" s="251"/>
      <c r="E304" s="17"/>
      <c r="F304" s="19"/>
      <c r="G304" s="17"/>
      <c r="H304" s="19"/>
      <c r="I304" s="230"/>
    </row>
    <row r="329">
      <c r="F329" s="96" t="s">
        <v>596</v>
      </c>
      <c r="G329" s="411">
        <v>0.1</v>
      </c>
    </row>
    <row r="330">
      <c r="F330" s="96" t="s">
        <v>599</v>
      </c>
    </row>
    <row r="331">
      <c r="F331" s="96" t="s">
        <v>600</v>
      </c>
      <c r="G331" s="411">
        <v>0.1</v>
      </c>
    </row>
    <row r="332">
      <c r="F332" s="96" t="s">
        <v>601</v>
      </c>
    </row>
    <row r="333">
      <c r="F333" s="96" t="s">
        <v>598</v>
      </c>
      <c r="G333" s="411">
        <v>0.12</v>
      </c>
    </row>
    <row r="334">
      <c r="F334" s="96" t="s">
        <v>602</v>
      </c>
    </row>
  </sheetData>
  <mergeCells count="800">
    <mergeCell ref="E61:F62"/>
    <mergeCell ref="G61:H62"/>
    <mergeCell ref="A57:A58"/>
    <mergeCell ref="A59:A60"/>
    <mergeCell ref="B59:C60"/>
    <mergeCell ref="D59:D60"/>
    <mergeCell ref="E59:F60"/>
    <mergeCell ref="G59:H60"/>
    <mergeCell ref="A61:A62"/>
    <mergeCell ref="D37:D38"/>
    <mergeCell ref="E37:F38"/>
    <mergeCell ref="E39:F40"/>
    <mergeCell ref="G39:H40"/>
    <mergeCell ref="E41:F42"/>
    <mergeCell ref="G41:H42"/>
    <mergeCell ref="A35:A36"/>
    <mergeCell ref="B35:C36"/>
    <mergeCell ref="D35:D36"/>
    <mergeCell ref="E35:F36"/>
    <mergeCell ref="G35:H36"/>
    <mergeCell ref="B37:C38"/>
    <mergeCell ref="G37:H38"/>
    <mergeCell ref="A43:A44"/>
    <mergeCell ref="B43:C44"/>
    <mergeCell ref="D43:D44"/>
    <mergeCell ref="E43:F44"/>
    <mergeCell ref="G43:H44"/>
    <mergeCell ref="A37:A38"/>
    <mergeCell ref="A39:A40"/>
    <mergeCell ref="B39:C40"/>
    <mergeCell ref="D39:D40"/>
    <mergeCell ref="A41:A42"/>
    <mergeCell ref="B41:C42"/>
    <mergeCell ref="D41:D42"/>
    <mergeCell ref="A45:A46"/>
    <mergeCell ref="B45:C46"/>
    <mergeCell ref="D45:D46"/>
    <mergeCell ref="E45:F46"/>
    <mergeCell ref="G45:H46"/>
    <mergeCell ref="B47:C48"/>
    <mergeCell ref="G47:H48"/>
    <mergeCell ref="A53:A54"/>
    <mergeCell ref="B53:C54"/>
    <mergeCell ref="D53:D54"/>
    <mergeCell ref="E53:F54"/>
    <mergeCell ref="G53:H54"/>
    <mergeCell ref="B61:C62"/>
    <mergeCell ref="D61:D62"/>
    <mergeCell ref="A63:A64"/>
    <mergeCell ref="B63:C64"/>
    <mergeCell ref="D63:D64"/>
    <mergeCell ref="E63:F64"/>
    <mergeCell ref="G63:H64"/>
    <mergeCell ref="D19:D20"/>
    <mergeCell ref="E19:F20"/>
    <mergeCell ref="E21:F22"/>
    <mergeCell ref="G21:H22"/>
    <mergeCell ref="E23:F24"/>
    <mergeCell ref="G23:H24"/>
    <mergeCell ref="A19:A20"/>
    <mergeCell ref="A21:A22"/>
    <mergeCell ref="B21:C22"/>
    <mergeCell ref="D21:D22"/>
    <mergeCell ref="A23:A24"/>
    <mergeCell ref="B23:C24"/>
    <mergeCell ref="D23:D24"/>
    <mergeCell ref="D27:D28"/>
    <mergeCell ref="E27:F28"/>
    <mergeCell ref="A25:A26"/>
    <mergeCell ref="B25:C26"/>
    <mergeCell ref="D25:D26"/>
    <mergeCell ref="E25:F26"/>
    <mergeCell ref="G25:H26"/>
    <mergeCell ref="B27:C28"/>
    <mergeCell ref="G27:H28"/>
    <mergeCell ref="E31:F32"/>
    <mergeCell ref="G31:H32"/>
    <mergeCell ref="A27:A28"/>
    <mergeCell ref="A29:A30"/>
    <mergeCell ref="B29:C30"/>
    <mergeCell ref="D29:D30"/>
    <mergeCell ref="E29:F30"/>
    <mergeCell ref="G29:H30"/>
    <mergeCell ref="A31:A32"/>
    <mergeCell ref="E7:F8"/>
    <mergeCell ref="G7:H8"/>
    <mergeCell ref="E9:F10"/>
    <mergeCell ref="G9:H10"/>
    <mergeCell ref="E11:F12"/>
    <mergeCell ref="G11:H12"/>
    <mergeCell ref="A2:H4"/>
    <mergeCell ref="A5:A6"/>
    <mergeCell ref="B5:C6"/>
    <mergeCell ref="D5:D6"/>
    <mergeCell ref="E5:F6"/>
    <mergeCell ref="G5:H6"/>
    <mergeCell ref="A7:A8"/>
    <mergeCell ref="B13:C14"/>
    <mergeCell ref="D13:D14"/>
    <mergeCell ref="E13:F14"/>
    <mergeCell ref="G13:H14"/>
    <mergeCell ref="B7:C8"/>
    <mergeCell ref="D7:D8"/>
    <mergeCell ref="A9:A10"/>
    <mergeCell ref="B9:C10"/>
    <mergeCell ref="D9:D10"/>
    <mergeCell ref="B11:C12"/>
    <mergeCell ref="D11:D12"/>
    <mergeCell ref="A11:A12"/>
    <mergeCell ref="A13:A14"/>
    <mergeCell ref="A15:A16"/>
    <mergeCell ref="B15:C16"/>
    <mergeCell ref="D15:D16"/>
    <mergeCell ref="E15:F16"/>
    <mergeCell ref="G15:H16"/>
    <mergeCell ref="A17:A18"/>
    <mergeCell ref="B17:C18"/>
    <mergeCell ref="D17:D18"/>
    <mergeCell ref="E17:F18"/>
    <mergeCell ref="G17:H18"/>
    <mergeCell ref="B19:C20"/>
    <mergeCell ref="G19:H20"/>
    <mergeCell ref="B31:C32"/>
    <mergeCell ref="D31:D32"/>
    <mergeCell ref="A33:A34"/>
    <mergeCell ref="B33:C34"/>
    <mergeCell ref="D33:D34"/>
    <mergeCell ref="E33:F34"/>
    <mergeCell ref="G33:H34"/>
    <mergeCell ref="D47:D48"/>
    <mergeCell ref="E47:F48"/>
    <mergeCell ref="E49:F50"/>
    <mergeCell ref="G49:H50"/>
    <mergeCell ref="E51:F52"/>
    <mergeCell ref="G51:H52"/>
    <mergeCell ref="A47:A48"/>
    <mergeCell ref="A49:A50"/>
    <mergeCell ref="B49:C50"/>
    <mergeCell ref="D49:D50"/>
    <mergeCell ref="A51:A52"/>
    <mergeCell ref="B51:C52"/>
    <mergeCell ref="D51:D52"/>
    <mergeCell ref="D57:D58"/>
    <mergeCell ref="E57:F58"/>
    <mergeCell ref="A55:A56"/>
    <mergeCell ref="B55:C56"/>
    <mergeCell ref="D55:D56"/>
    <mergeCell ref="E55:F56"/>
    <mergeCell ref="G55:H56"/>
    <mergeCell ref="B57:C58"/>
    <mergeCell ref="G57:H58"/>
    <mergeCell ref="D87:D88"/>
    <mergeCell ref="E87:F88"/>
    <mergeCell ref="A85:A86"/>
    <mergeCell ref="B85:C86"/>
    <mergeCell ref="D85:D86"/>
    <mergeCell ref="E85:F86"/>
    <mergeCell ref="G85:H86"/>
    <mergeCell ref="B87:C88"/>
    <mergeCell ref="G87:H88"/>
    <mergeCell ref="D77:D78"/>
    <mergeCell ref="E77:F78"/>
    <mergeCell ref="E79:F80"/>
    <mergeCell ref="G79:H80"/>
    <mergeCell ref="E81:F82"/>
    <mergeCell ref="G81:H82"/>
    <mergeCell ref="A77:A78"/>
    <mergeCell ref="A79:A80"/>
    <mergeCell ref="B79:C80"/>
    <mergeCell ref="D79:D80"/>
    <mergeCell ref="A81:A82"/>
    <mergeCell ref="B81:C82"/>
    <mergeCell ref="D81:D82"/>
    <mergeCell ref="E91:F92"/>
    <mergeCell ref="G91:H92"/>
    <mergeCell ref="A87:A88"/>
    <mergeCell ref="A89:A90"/>
    <mergeCell ref="B89:C90"/>
    <mergeCell ref="D89:D90"/>
    <mergeCell ref="E89:F90"/>
    <mergeCell ref="G89:H90"/>
    <mergeCell ref="A91:A92"/>
    <mergeCell ref="D67:D68"/>
    <mergeCell ref="E67:F68"/>
    <mergeCell ref="E69:F70"/>
    <mergeCell ref="G69:H70"/>
    <mergeCell ref="E71:F72"/>
    <mergeCell ref="G71:H72"/>
    <mergeCell ref="A65:A66"/>
    <mergeCell ref="B65:C66"/>
    <mergeCell ref="D65:D66"/>
    <mergeCell ref="E65:F66"/>
    <mergeCell ref="G65:H66"/>
    <mergeCell ref="B67:C68"/>
    <mergeCell ref="G67:H68"/>
    <mergeCell ref="A73:A74"/>
    <mergeCell ref="B73:C74"/>
    <mergeCell ref="D73:D74"/>
    <mergeCell ref="E73:F74"/>
    <mergeCell ref="G73:H74"/>
    <mergeCell ref="A67:A68"/>
    <mergeCell ref="A69:A70"/>
    <mergeCell ref="B69:C70"/>
    <mergeCell ref="D69:D70"/>
    <mergeCell ref="A71:A72"/>
    <mergeCell ref="B71:C72"/>
    <mergeCell ref="D71:D72"/>
    <mergeCell ref="A75:A76"/>
    <mergeCell ref="B75:C76"/>
    <mergeCell ref="D75:D76"/>
    <mergeCell ref="E75:F76"/>
    <mergeCell ref="G75:H76"/>
    <mergeCell ref="B77:C78"/>
    <mergeCell ref="G77:H78"/>
    <mergeCell ref="A83:A84"/>
    <mergeCell ref="B83:C84"/>
    <mergeCell ref="D83:D84"/>
    <mergeCell ref="E83:F84"/>
    <mergeCell ref="G83:H84"/>
    <mergeCell ref="B91:C92"/>
    <mergeCell ref="D91:D92"/>
    <mergeCell ref="A93:A94"/>
    <mergeCell ref="B93:C94"/>
    <mergeCell ref="D93:D94"/>
    <mergeCell ref="E93:F94"/>
    <mergeCell ref="G93:H94"/>
    <mergeCell ref="D107:D108"/>
    <mergeCell ref="E107:F108"/>
    <mergeCell ref="E109:F110"/>
    <mergeCell ref="G109:H110"/>
    <mergeCell ref="E111:F112"/>
    <mergeCell ref="G111:H112"/>
    <mergeCell ref="A107:A108"/>
    <mergeCell ref="A109:A110"/>
    <mergeCell ref="B109:C110"/>
    <mergeCell ref="D109:D110"/>
    <mergeCell ref="A111:A112"/>
    <mergeCell ref="B111:C112"/>
    <mergeCell ref="D111:D112"/>
    <mergeCell ref="D117:D118"/>
    <mergeCell ref="E117:F118"/>
    <mergeCell ref="A115:A116"/>
    <mergeCell ref="B115:C116"/>
    <mergeCell ref="D115:D116"/>
    <mergeCell ref="E115:F116"/>
    <mergeCell ref="G115:H116"/>
    <mergeCell ref="B117:C118"/>
    <mergeCell ref="G117:H118"/>
    <mergeCell ref="E121:F122"/>
    <mergeCell ref="G121:H122"/>
    <mergeCell ref="A117:A118"/>
    <mergeCell ref="A119:A120"/>
    <mergeCell ref="B119:C120"/>
    <mergeCell ref="D119:D120"/>
    <mergeCell ref="E119:F120"/>
    <mergeCell ref="G119:H120"/>
    <mergeCell ref="A121:A122"/>
    <mergeCell ref="D97:D98"/>
    <mergeCell ref="E97:F98"/>
    <mergeCell ref="E99:F100"/>
    <mergeCell ref="G99:H100"/>
    <mergeCell ref="E101:F102"/>
    <mergeCell ref="G101:H102"/>
    <mergeCell ref="A95:A96"/>
    <mergeCell ref="B95:C96"/>
    <mergeCell ref="D95:D96"/>
    <mergeCell ref="E95:F96"/>
    <mergeCell ref="G95:H96"/>
    <mergeCell ref="B97:C98"/>
    <mergeCell ref="G97:H98"/>
    <mergeCell ref="A103:A104"/>
    <mergeCell ref="B103:C104"/>
    <mergeCell ref="D103:D104"/>
    <mergeCell ref="E103:F104"/>
    <mergeCell ref="G103:H104"/>
    <mergeCell ref="A97:A98"/>
    <mergeCell ref="A99:A100"/>
    <mergeCell ref="B99:C100"/>
    <mergeCell ref="D99:D100"/>
    <mergeCell ref="A101:A102"/>
    <mergeCell ref="B101:C102"/>
    <mergeCell ref="D101:D102"/>
    <mergeCell ref="A105:A106"/>
    <mergeCell ref="B105:C106"/>
    <mergeCell ref="D105:D106"/>
    <mergeCell ref="E105:F106"/>
    <mergeCell ref="G105:H106"/>
    <mergeCell ref="B107:C108"/>
    <mergeCell ref="G107:H108"/>
    <mergeCell ref="A113:A114"/>
    <mergeCell ref="B113:C114"/>
    <mergeCell ref="D113:D114"/>
    <mergeCell ref="E113:F114"/>
    <mergeCell ref="G113:H114"/>
    <mergeCell ref="B121:C122"/>
    <mergeCell ref="D121:D122"/>
    <mergeCell ref="A123:A124"/>
    <mergeCell ref="B123:C124"/>
    <mergeCell ref="D123:D124"/>
    <mergeCell ref="E123:F124"/>
    <mergeCell ref="G123:H124"/>
    <mergeCell ref="E181:F182"/>
    <mergeCell ref="G181:H182"/>
    <mergeCell ref="A177:A178"/>
    <mergeCell ref="A179:A180"/>
    <mergeCell ref="B179:C180"/>
    <mergeCell ref="D179:D180"/>
    <mergeCell ref="E179:F180"/>
    <mergeCell ref="G179:H180"/>
    <mergeCell ref="A181:A182"/>
    <mergeCell ref="D157:D158"/>
    <mergeCell ref="E157:F158"/>
    <mergeCell ref="E159:F160"/>
    <mergeCell ref="G159:H160"/>
    <mergeCell ref="E161:F162"/>
    <mergeCell ref="G161:H162"/>
    <mergeCell ref="A155:A156"/>
    <mergeCell ref="B155:C156"/>
    <mergeCell ref="D155:D156"/>
    <mergeCell ref="E155:F156"/>
    <mergeCell ref="G155:H156"/>
    <mergeCell ref="B157:C158"/>
    <mergeCell ref="G157:H158"/>
    <mergeCell ref="A163:A164"/>
    <mergeCell ref="B163:C164"/>
    <mergeCell ref="D163:D164"/>
    <mergeCell ref="E163:F164"/>
    <mergeCell ref="G163:H164"/>
    <mergeCell ref="A157:A158"/>
    <mergeCell ref="A159:A160"/>
    <mergeCell ref="B159:C160"/>
    <mergeCell ref="D159:D160"/>
    <mergeCell ref="A161:A162"/>
    <mergeCell ref="B161:C162"/>
    <mergeCell ref="D161:D162"/>
    <mergeCell ref="A165:A166"/>
    <mergeCell ref="B165:C166"/>
    <mergeCell ref="D165:D166"/>
    <mergeCell ref="E165:F166"/>
    <mergeCell ref="G165:H166"/>
    <mergeCell ref="B167:C168"/>
    <mergeCell ref="G167:H168"/>
    <mergeCell ref="A173:A174"/>
    <mergeCell ref="B173:C174"/>
    <mergeCell ref="D173:D174"/>
    <mergeCell ref="E173:F174"/>
    <mergeCell ref="G173:H174"/>
    <mergeCell ref="B181:C182"/>
    <mergeCell ref="D181:D182"/>
    <mergeCell ref="A183:A184"/>
    <mergeCell ref="B183:C184"/>
    <mergeCell ref="D183:D184"/>
    <mergeCell ref="E183:F184"/>
    <mergeCell ref="G183:H184"/>
    <mergeCell ref="D137:D138"/>
    <mergeCell ref="E137:F138"/>
    <mergeCell ref="E139:F140"/>
    <mergeCell ref="G139:H140"/>
    <mergeCell ref="E141:F142"/>
    <mergeCell ref="G141:H142"/>
    <mergeCell ref="A137:A138"/>
    <mergeCell ref="A139:A140"/>
    <mergeCell ref="B139:C140"/>
    <mergeCell ref="D139:D140"/>
    <mergeCell ref="A141:A142"/>
    <mergeCell ref="B141:C142"/>
    <mergeCell ref="D141:D142"/>
    <mergeCell ref="D147:D148"/>
    <mergeCell ref="E147:F148"/>
    <mergeCell ref="A145:A146"/>
    <mergeCell ref="B145:C146"/>
    <mergeCell ref="D145:D146"/>
    <mergeCell ref="E145:F146"/>
    <mergeCell ref="G145:H146"/>
    <mergeCell ref="B147:C148"/>
    <mergeCell ref="G147:H148"/>
    <mergeCell ref="E151:F152"/>
    <mergeCell ref="G151:H152"/>
    <mergeCell ref="A147:A148"/>
    <mergeCell ref="A149:A150"/>
    <mergeCell ref="B149:C150"/>
    <mergeCell ref="D149:D150"/>
    <mergeCell ref="E149:F150"/>
    <mergeCell ref="G149:H150"/>
    <mergeCell ref="A151:A152"/>
    <mergeCell ref="D127:D128"/>
    <mergeCell ref="E127:F128"/>
    <mergeCell ref="E129:F130"/>
    <mergeCell ref="G129:H130"/>
    <mergeCell ref="E131:F132"/>
    <mergeCell ref="G131:H132"/>
    <mergeCell ref="A125:A126"/>
    <mergeCell ref="B125:C126"/>
    <mergeCell ref="D125:D126"/>
    <mergeCell ref="E125:F126"/>
    <mergeCell ref="G125:H126"/>
    <mergeCell ref="B127:C128"/>
    <mergeCell ref="G127:H128"/>
    <mergeCell ref="A133:A134"/>
    <mergeCell ref="B133:C134"/>
    <mergeCell ref="D133:D134"/>
    <mergeCell ref="E133:F134"/>
    <mergeCell ref="G133:H134"/>
    <mergeCell ref="A127:A128"/>
    <mergeCell ref="A129:A130"/>
    <mergeCell ref="B129:C130"/>
    <mergeCell ref="D129:D130"/>
    <mergeCell ref="A131:A132"/>
    <mergeCell ref="B131:C132"/>
    <mergeCell ref="D131:D132"/>
    <mergeCell ref="A135:A136"/>
    <mergeCell ref="B135:C136"/>
    <mergeCell ref="D135:D136"/>
    <mergeCell ref="E135:F136"/>
    <mergeCell ref="G135:H136"/>
    <mergeCell ref="B137:C138"/>
    <mergeCell ref="G137:H138"/>
    <mergeCell ref="A143:A144"/>
    <mergeCell ref="B143:C144"/>
    <mergeCell ref="D143:D144"/>
    <mergeCell ref="E143:F144"/>
    <mergeCell ref="G143:H144"/>
    <mergeCell ref="B151:C152"/>
    <mergeCell ref="D151:D152"/>
    <mergeCell ref="A153:A154"/>
    <mergeCell ref="B153:C154"/>
    <mergeCell ref="D153:D154"/>
    <mergeCell ref="E153:F154"/>
    <mergeCell ref="G153:H154"/>
    <mergeCell ref="D167:D168"/>
    <mergeCell ref="E167:F168"/>
    <mergeCell ref="E169:F170"/>
    <mergeCell ref="G169:H170"/>
    <mergeCell ref="E171:F172"/>
    <mergeCell ref="G171:H172"/>
    <mergeCell ref="A167:A168"/>
    <mergeCell ref="A169:A170"/>
    <mergeCell ref="B169:C170"/>
    <mergeCell ref="D169:D170"/>
    <mergeCell ref="A171:A172"/>
    <mergeCell ref="B171:C172"/>
    <mergeCell ref="D171:D172"/>
    <mergeCell ref="D177:D178"/>
    <mergeCell ref="E177:F178"/>
    <mergeCell ref="A175:A176"/>
    <mergeCell ref="B175:C176"/>
    <mergeCell ref="D175:D176"/>
    <mergeCell ref="E175:F176"/>
    <mergeCell ref="G175:H176"/>
    <mergeCell ref="B177:C178"/>
    <mergeCell ref="G177:H178"/>
    <mergeCell ref="D207:D208"/>
    <mergeCell ref="E207:F208"/>
    <mergeCell ref="A205:A206"/>
    <mergeCell ref="B205:C206"/>
    <mergeCell ref="D205:D206"/>
    <mergeCell ref="E205:F206"/>
    <mergeCell ref="G205:H206"/>
    <mergeCell ref="B207:C208"/>
    <mergeCell ref="G207:H208"/>
    <mergeCell ref="D197:D198"/>
    <mergeCell ref="E197:F198"/>
    <mergeCell ref="E199:F200"/>
    <mergeCell ref="G199:H200"/>
    <mergeCell ref="E201:F202"/>
    <mergeCell ref="G201:H202"/>
    <mergeCell ref="A197:A198"/>
    <mergeCell ref="A199:A200"/>
    <mergeCell ref="B199:C200"/>
    <mergeCell ref="D199:D200"/>
    <mergeCell ref="A201:A202"/>
    <mergeCell ref="B201:C202"/>
    <mergeCell ref="D201:D202"/>
    <mergeCell ref="E211:F212"/>
    <mergeCell ref="G211:H212"/>
    <mergeCell ref="A207:A208"/>
    <mergeCell ref="A209:A210"/>
    <mergeCell ref="B209:C210"/>
    <mergeCell ref="D209:D210"/>
    <mergeCell ref="E209:F210"/>
    <mergeCell ref="G209:H210"/>
    <mergeCell ref="A211:A212"/>
    <mergeCell ref="D187:D188"/>
    <mergeCell ref="E187:F188"/>
    <mergeCell ref="E189:F190"/>
    <mergeCell ref="G189:H190"/>
    <mergeCell ref="E191:F192"/>
    <mergeCell ref="G191:H192"/>
    <mergeCell ref="A185:A186"/>
    <mergeCell ref="B185:C186"/>
    <mergeCell ref="D185:D186"/>
    <mergeCell ref="E185:F186"/>
    <mergeCell ref="G185:H186"/>
    <mergeCell ref="B187:C188"/>
    <mergeCell ref="G187:H188"/>
    <mergeCell ref="A193:A194"/>
    <mergeCell ref="B193:C194"/>
    <mergeCell ref="D193:D194"/>
    <mergeCell ref="E193:F194"/>
    <mergeCell ref="G193:H194"/>
    <mergeCell ref="A187:A188"/>
    <mergeCell ref="A189:A190"/>
    <mergeCell ref="B189:C190"/>
    <mergeCell ref="D189:D190"/>
    <mergeCell ref="A191:A192"/>
    <mergeCell ref="B191:C192"/>
    <mergeCell ref="D191:D192"/>
    <mergeCell ref="A195:A196"/>
    <mergeCell ref="B195:C196"/>
    <mergeCell ref="D195:D196"/>
    <mergeCell ref="E195:F196"/>
    <mergeCell ref="G195:H196"/>
    <mergeCell ref="B197:C198"/>
    <mergeCell ref="G197:H198"/>
    <mergeCell ref="A203:A204"/>
    <mergeCell ref="B203:C204"/>
    <mergeCell ref="D203:D204"/>
    <mergeCell ref="E203:F204"/>
    <mergeCell ref="G203:H204"/>
    <mergeCell ref="B211:C212"/>
    <mergeCell ref="D211:D212"/>
    <mergeCell ref="A213:A214"/>
    <mergeCell ref="B213:C214"/>
    <mergeCell ref="D213:D214"/>
    <mergeCell ref="E213:F214"/>
    <mergeCell ref="G213:H214"/>
    <mergeCell ref="D227:D228"/>
    <mergeCell ref="E227:F228"/>
    <mergeCell ref="E229:F230"/>
    <mergeCell ref="G229:H230"/>
    <mergeCell ref="E231:F232"/>
    <mergeCell ref="G231:H232"/>
    <mergeCell ref="A227:A228"/>
    <mergeCell ref="A229:A230"/>
    <mergeCell ref="B229:C230"/>
    <mergeCell ref="D229:D230"/>
    <mergeCell ref="A231:A232"/>
    <mergeCell ref="B231:C232"/>
    <mergeCell ref="D231:D232"/>
    <mergeCell ref="D237:D238"/>
    <mergeCell ref="E237:F238"/>
    <mergeCell ref="A235:A236"/>
    <mergeCell ref="B235:C236"/>
    <mergeCell ref="D235:D236"/>
    <mergeCell ref="E235:F236"/>
    <mergeCell ref="G235:H236"/>
    <mergeCell ref="B237:C238"/>
    <mergeCell ref="G237:H238"/>
    <mergeCell ref="E241:F242"/>
    <mergeCell ref="G241:H242"/>
    <mergeCell ref="A237:A238"/>
    <mergeCell ref="A239:A240"/>
    <mergeCell ref="B239:C240"/>
    <mergeCell ref="D239:D240"/>
    <mergeCell ref="E239:F240"/>
    <mergeCell ref="G239:H240"/>
    <mergeCell ref="A241:A242"/>
    <mergeCell ref="D217:D218"/>
    <mergeCell ref="E217:F218"/>
    <mergeCell ref="E219:F220"/>
    <mergeCell ref="G219:H220"/>
    <mergeCell ref="E221:F222"/>
    <mergeCell ref="G221:H222"/>
    <mergeCell ref="A215:A216"/>
    <mergeCell ref="B215:C216"/>
    <mergeCell ref="D215:D216"/>
    <mergeCell ref="E215:F216"/>
    <mergeCell ref="G215:H216"/>
    <mergeCell ref="B217:C218"/>
    <mergeCell ref="G217:H218"/>
    <mergeCell ref="A223:A224"/>
    <mergeCell ref="B223:C224"/>
    <mergeCell ref="D223:D224"/>
    <mergeCell ref="E223:F224"/>
    <mergeCell ref="G223:H224"/>
    <mergeCell ref="A217:A218"/>
    <mergeCell ref="A219:A220"/>
    <mergeCell ref="B219:C220"/>
    <mergeCell ref="D219:D220"/>
    <mergeCell ref="A221:A222"/>
    <mergeCell ref="B221:C222"/>
    <mergeCell ref="D221:D222"/>
    <mergeCell ref="A225:A226"/>
    <mergeCell ref="B225:C226"/>
    <mergeCell ref="D225:D226"/>
    <mergeCell ref="E225:F226"/>
    <mergeCell ref="G225:H226"/>
    <mergeCell ref="B227:C228"/>
    <mergeCell ref="G227:H228"/>
    <mergeCell ref="A233:A234"/>
    <mergeCell ref="B233:C234"/>
    <mergeCell ref="D233:D234"/>
    <mergeCell ref="E233:F234"/>
    <mergeCell ref="G233:H234"/>
    <mergeCell ref="B241:C242"/>
    <mergeCell ref="D241:D242"/>
    <mergeCell ref="A243:A244"/>
    <mergeCell ref="B243:C244"/>
    <mergeCell ref="D243:D244"/>
    <mergeCell ref="E243:F244"/>
    <mergeCell ref="G243:H244"/>
    <mergeCell ref="E301:F302"/>
    <mergeCell ref="G301:H302"/>
    <mergeCell ref="A297:A298"/>
    <mergeCell ref="A299:A300"/>
    <mergeCell ref="B299:C300"/>
    <mergeCell ref="D299:D300"/>
    <mergeCell ref="E299:F300"/>
    <mergeCell ref="G299:H300"/>
    <mergeCell ref="A301:A302"/>
    <mergeCell ref="D277:D278"/>
    <mergeCell ref="E277:F278"/>
    <mergeCell ref="E279:F280"/>
    <mergeCell ref="G279:H280"/>
    <mergeCell ref="E281:F282"/>
    <mergeCell ref="G281:H282"/>
    <mergeCell ref="A275:A276"/>
    <mergeCell ref="B275:C276"/>
    <mergeCell ref="D275:D276"/>
    <mergeCell ref="E275:F276"/>
    <mergeCell ref="G275:H276"/>
    <mergeCell ref="B277:C278"/>
    <mergeCell ref="G277:H278"/>
    <mergeCell ref="A283:A284"/>
    <mergeCell ref="B283:C284"/>
    <mergeCell ref="D283:D284"/>
    <mergeCell ref="E283:F284"/>
    <mergeCell ref="G283:H284"/>
    <mergeCell ref="A277:A278"/>
    <mergeCell ref="A279:A280"/>
    <mergeCell ref="B279:C280"/>
    <mergeCell ref="D279:D280"/>
    <mergeCell ref="A281:A282"/>
    <mergeCell ref="B281:C282"/>
    <mergeCell ref="D281:D282"/>
    <mergeCell ref="A285:A286"/>
    <mergeCell ref="B285:C286"/>
    <mergeCell ref="D285:D286"/>
    <mergeCell ref="E285:F286"/>
    <mergeCell ref="G285:H286"/>
    <mergeCell ref="B287:C288"/>
    <mergeCell ref="G287:H288"/>
    <mergeCell ref="A293:A294"/>
    <mergeCell ref="B293:C294"/>
    <mergeCell ref="D293:D294"/>
    <mergeCell ref="E293:F294"/>
    <mergeCell ref="G293:H294"/>
    <mergeCell ref="B301:C302"/>
    <mergeCell ref="D301:D302"/>
    <mergeCell ref="A303:A304"/>
    <mergeCell ref="B303:C304"/>
    <mergeCell ref="D303:D304"/>
    <mergeCell ref="E303:F304"/>
    <mergeCell ref="G303:H304"/>
    <mergeCell ref="D257:D258"/>
    <mergeCell ref="E257:F258"/>
    <mergeCell ref="E259:F260"/>
    <mergeCell ref="G259:H260"/>
    <mergeCell ref="E261:F262"/>
    <mergeCell ref="G261:H262"/>
    <mergeCell ref="A257:A258"/>
    <mergeCell ref="A259:A260"/>
    <mergeCell ref="B259:C260"/>
    <mergeCell ref="D259:D260"/>
    <mergeCell ref="A261:A262"/>
    <mergeCell ref="B261:C262"/>
    <mergeCell ref="D261:D262"/>
    <mergeCell ref="D267:D268"/>
    <mergeCell ref="E267:F268"/>
    <mergeCell ref="A265:A266"/>
    <mergeCell ref="B265:C266"/>
    <mergeCell ref="D265:D266"/>
    <mergeCell ref="E265:F266"/>
    <mergeCell ref="G265:H266"/>
    <mergeCell ref="B267:C268"/>
    <mergeCell ref="G267:H268"/>
    <mergeCell ref="E271:F272"/>
    <mergeCell ref="G271:H272"/>
    <mergeCell ref="A267:A268"/>
    <mergeCell ref="A269:A270"/>
    <mergeCell ref="B269:C270"/>
    <mergeCell ref="D269:D270"/>
    <mergeCell ref="E269:F270"/>
    <mergeCell ref="G269:H270"/>
    <mergeCell ref="A271:A272"/>
    <mergeCell ref="D247:D248"/>
    <mergeCell ref="E247:F248"/>
    <mergeCell ref="E249:F250"/>
    <mergeCell ref="G249:H250"/>
    <mergeCell ref="E251:F252"/>
    <mergeCell ref="G251:H252"/>
    <mergeCell ref="A245:A246"/>
    <mergeCell ref="B245:C246"/>
    <mergeCell ref="D245:D246"/>
    <mergeCell ref="E245:F246"/>
    <mergeCell ref="G245:H246"/>
    <mergeCell ref="B247:C248"/>
    <mergeCell ref="G247:H248"/>
    <mergeCell ref="A253:A254"/>
    <mergeCell ref="B253:C254"/>
    <mergeCell ref="D253:D254"/>
    <mergeCell ref="E253:F254"/>
    <mergeCell ref="G253:H254"/>
    <mergeCell ref="A247:A248"/>
    <mergeCell ref="A249:A250"/>
    <mergeCell ref="B249:C250"/>
    <mergeCell ref="D249:D250"/>
    <mergeCell ref="A251:A252"/>
    <mergeCell ref="B251:C252"/>
    <mergeCell ref="D251:D252"/>
    <mergeCell ref="A255:A256"/>
    <mergeCell ref="B255:C256"/>
    <mergeCell ref="D255:D256"/>
    <mergeCell ref="E255:F256"/>
    <mergeCell ref="G255:H256"/>
    <mergeCell ref="B257:C258"/>
    <mergeCell ref="G257:H258"/>
    <mergeCell ref="A263:A264"/>
    <mergeCell ref="B263:C264"/>
    <mergeCell ref="D263:D264"/>
    <mergeCell ref="E263:F264"/>
    <mergeCell ref="G263:H264"/>
    <mergeCell ref="B271:C272"/>
    <mergeCell ref="D271:D272"/>
    <mergeCell ref="A273:A274"/>
    <mergeCell ref="B273:C274"/>
    <mergeCell ref="D273:D274"/>
    <mergeCell ref="E273:F274"/>
    <mergeCell ref="G273:H274"/>
    <mergeCell ref="D287:D288"/>
    <mergeCell ref="E287:F288"/>
    <mergeCell ref="E289:F290"/>
    <mergeCell ref="G289:H290"/>
    <mergeCell ref="E291:F292"/>
    <mergeCell ref="G291:H292"/>
    <mergeCell ref="A287:A288"/>
    <mergeCell ref="A289:A290"/>
    <mergeCell ref="B289:C290"/>
    <mergeCell ref="D289:D290"/>
    <mergeCell ref="A291:A292"/>
    <mergeCell ref="B291:C292"/>
    <mergeCell ref="D291:D292"/>
    <mergeCell ref="D297:D298"/>
    <mergeCell ref="E297:F298"/>
    <mergeCell ref="A295:A296"/>
    <mergeCell ref="B295:C296"/>
    <mergeCell ref="D295:D296"/>
    <mergeCell ref="E295:F296"/>
    <mergeCell ref="G295:H296"/>
    <mergeCell ref="B297:C298"/>
    <mergeCell ref="G297:H298"/>
    <mergeCell ref="G305:H306"/>
    <mergeCell ref="G307:H308"/>
    <mergeCell ref="G309:H310"/>
    <mergeCell ref="G311:H312"/>
    <mergeCell ref="G313:H314"/>
    <mergeCell ref="G315:H316"/>
    <mergeCell ref="G317:H318"/>
    <mergeCell ref="G319:H320"/>
    <mergeCell ref="G321:H322"/>
    <mergeCell ref="G323:H324"/>
    <mergeCell ref="G325:H326"/>
    <mergeCell ref="G327:H328"/>
    <mergeCell ref="G329:H330"/>
    <mergeCell ref="G331:H332"/>
    <mergeCell ref="G333:H334"/>
    <mergeCell ref="G335:H336"/>
    <mergeCell ref="G337:H338"/>
    <mergeCell ref="G339:H340"/>
    <mergeCell ref="G341:H342"/>
    <mergeCell ref="G343:H344"/>
    <mergeCell ref="G345:H346"/>
    <mergeCell ref="G347:H348"/>
    <mergeCell ref="G349:H350"/>
    <mergeCell ref="G351:H352"/>
    <mergeCell ref="G353:H354"/>
    <mergeCell ref="G355:H356"/>
    <mergeCell ref="G357:H358"/>
    <mergeCell ref="G359:H360"/>
    <mergeCell ref="G361:H362"/>
    <mergeCell ref="G363:H364"/>
    <mergeCell ref="G365:H366"/>
    <mergeCell ref="G367:H368"/>
    <mergeCell ref="G369:H370"/>
    <mergeCell ref="G371:H372"/>
    <mergeCell ref="G373:H374"/>
    <mergeCell ref="G389:H390"/>
    <mergeCell ref="G391:H392"/>
    <mergeCell ref="G393:H394"/>
    <mergeCell ref="G395:H396"/>
    <mergeCell ref="G397:H398"/>
    <mergeCell ref="G399:H400"/>
    <mergeCell ref="G401:H402"/>
    <mergeCell ref="G375:H376"/>
    <mergeCell ref="G377:H378"/>
    <mergeCell ref="G379:H380"/>
    <mergeCell ref="G381:H382"/>
    <mergeCell ref="G383:H384"/>
    <mergeCell ref="G385:H386"/>
    <mergeCell ref="G387:H388"/>
  </mergeCells>
  <conditionalFormatting sqref="A2:I2">
    <cfRule type="notContainsBlanks" dxfId="0" priority="1">
      <formula>LEN(TRIM(A2))&gt;0</formula>
    </cfRule>
  </conditionalFormatting>
  <dataValidations>
    <dataValidation type="list" allowBlank="1" showErrorMessage="1" sqref="D7 D9 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D161 D163 D165 D167 D169 D171 D173 D175 D177 D179 D181 D183 D185 D187 D189 D191 D193 D195 D197 D199 D201 D203 D205 D207 D209 D211 D213 D215 D217 D219 D221 D223 D225 D227 D229 D231 D233 D235 D237 D239 D241 D243 D245 D247 D249 D251 D253 D255 D257 D259 D261 D263 D265 D267 D269 D271 D273 D275 D277 D279 D281 D283 D285 D287 D289 D291 D293 D295 D297 D299 D301 D303">
      <formula1>"ARRACHE AMORTISSEURS,ARRACHE DIRECTION,ARRACHE ROTULES,ARRACHE PLAQUETTES HYDRAULIQUE,OUTILLAGE CHAINE,TEST FUITE D'EAU"</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14"/>
    <col customWidth="1" min="2" max="3" width="20.14"/>
    <col customWidth="1" min="4" max="4" width="40.14"/>
    <col customWidth="1" min="5" max="5" width="25.29"/>
    <col customWidth="1" min="6" max="6" width="21.57"/>
    <col customWidth="1" min="7" max="9" width="40.14"/>
  </cols>
  <sheetData>
    <row r="1">
      <c r="A1" s="230" t="s">
        <v>589</v>
      </c>
      <c r="B1" s="230"/>
      <c r="C1" s="230"/>
      <c r="D1" s="230"/>
      <c r="E1" s="230"/>
      <c r="F1" s="230"/>
      <c r="G1" s="230"/>
      <c r="H1" s="230"/>
      <c r="I1" s="230"/>
    </row>
    <row r="2">
      <c r="A2" s="390" t="s">
        <v>88</v>
      </c>
      <c r="B2" s="9"/>
      <c r="C2" s="9"/>
      <c r="D2" s="9"/>
      <c r="E2" s="9"/>
      <c r="F2" s="9"/>
      <c r="G2" s="9"/>
      <c r="H2" s="9"/>
      <c r="I2" s="230"/>
    </row>
    <row r="3">
      <c r="A3" s="14"/>
      <c r="I3" s="230"/>
    </row>
    <row r="4">
      <c r="A4" s="17"/>
      <c r="B4" s="18"/>
      <c r="C4" s="18"/>
      <c r="D4" s="18"/>
      <c r="E4" s="18"/>
      <c r="F4" s="18"/>
      <c r="G4" s="18"/>
      <c r="H4" s="18"/>
      <c r="I4" s="230"/>
    </row>
    <row r="5">
      <c r="A5" s="412" t="s">
        <v>24</v>
      </c>
      <c r="B5" s="413" t="s">
        <v>591</v>
      </c>
      <c r="C5" s="10"/>
      <c r="D5" s="414" t="s">
        <v>603</v>
      </c>
      <c r="E5" s="413" t="s">
        <v>593</v>
      </c>
      <c r="F5" s="10"/>
      <c r="G5" s="413" t="s">
        <v>604</v>
      </c>
      <c r="H5" s="10"/>
      <c r="I5" s="230"/>
    </row>
    <row r="6" ht="24.75" customHeight="1">
      <c r="A6" s="251"/>
      <c r="B6" s="17"/>
      <c r="C6" s="19"/>
      <c r="D6" s="251"/>
      <c r="E6" s="17"/>
      <c r="F6" s="19"/>
      <c r="G6" s="17"/>
      <c r="H6" s="19"/>
      <c r="I6" s="230"/>
    </row>
    <row r="7">
      <c r="A7" s="404" t="s">
        <v>605</v>
      </c>
      <c r="B7" s="400"/>
      <c r="C7" s="10"/>
      <c r="D7" s="401"/>
      <c r="E7" s="400"/>
      <c r="F7" s="10"/>
      <c r="G7" s="402">
        <v>-140.0</v>
      </c>
      <c r="H7" s="10"/>
      <c r="I7" s="230"/>
    </row>
    <row r="8">
      <c r="A8" s="251"/>
      <c r="B8" s="17"/>
      <c r="C8" s="19"/>
      <c r="D8" s="251"/>
      <c r="E8" s="17"/>
      <c r="F8" s="19"/>
      <c r="G8" s="17"/>
      <c r="H8" s="19"/>
      <c r="I8" s="230"/>
    </row>
    <row r="9" ht="18.0" customHeight="1">
      <c r="A9" s="415">
        <v>46056.0</v>
      </c>
      <c r="B9" s="402" t="s">
        <v>120</v>
      </c>
      <c r="C9" s="10"/>
      <c r="D9" s="404" t="s">
        <v>606</v>
      </c>
      <c r="E9" s="402">
        <v>700.0</v>
      </c>
      <c r="F9" s="10"/>
      <c r="G9" s="402">
        <v>350.0</v>
      </c>
      <c r="H9" s="10"/>
      <c r="I9" s="230"/>
    </row>
    <row r="10" ht="13.5" customHeight="1">
      <c r="A10" s="251"/>
      <c r="B10" s="17"/>
      <c r="C10" s="19"/>
      <c r="D10" s="251"/>
      <c r="E10" s="17"/>
      <c r="F10" s="19"/>
      <c r="G10" s="17"/>
      <c r="H10" s="19"/>
      <c r="I10" s="230"/>
    </row>
    <row r="11">
      <c r="A11" s="416">
        <v>46056.0</v>
      </c>
      <c r="B11" s="417" t="s">
        <v>607</v>
      </c>
      <c r="C11" s="10"/>
      <c r="D11" s="418"/>
      <c r="E11" s="419"/>
      <c r="F11" s="10"/>
      <c r="G11" s="417">
        <v>-210.0</v>
      </c>
      <c r="H11" s="10"/>
      <c r="I11" s="230"/>
    </row>
    <row r="12">
      <c r="A12" s="251"/>
      <c r="B12" s="17"/>
      <c r="C12" s="19"/>
      <c r="D12" s="251"/>
      <c r="E12" s="17"/>
      <c r="F12" s="19"/>
      <c r="G12" s="17"/>
      <c r="H12" s="19"/>
      <c r="I12" s="230"/>
    </row>
    <row r="13">
      <c r="A13" s="415">
        <v>46056.0</v>
      </c>
      <c r="B13" s="402" t="s">
        <v>225</v>
      </c>
      <c r="C13" s="10"/>
      <c r="D13" s="404"/>
      <c r="E13" s="402"/>
      <c r="F13" s="10"/>
      <c r="G13" s="402"/>
      <c r="H13" s="10"/>
      <c r="I13" s="230"/>
    </row>
    <row r="14">
      <c r="A14" s="251"/>
      <c r="B14" s="17"/>
      <c r="C14" s="19"/>
      <c r="D14" s="251"/>
      <c r="E14" s="17"/>
      <c r="F14" s="19"/>
      <c r="G14" s="17"/>
      <c r="H14" s="19"/>
      <c r="I14" s="230"/>
    </row>
    <row r="15">
      <c r="A15" s="415">
        <v>46058.0</v>
      </c>
      <c r="B15" s="402" t="s">
        <v>225</v>
      </c>
      <c r="C15" s="10"/>
      <c r="D15" s="404" t="s">
        <v>141</v>
      </c>
      <c r="E15" s="400"/>
      <c r="F15" s="10"/>
      <c r="G15" s="402">
        <v>-50.0</v>
      </c>
      <c r="H15" s="10"/>
      <c r="I15" s="230"/>
    </row>
    <row r="16">
      <c r="A16" s="251"/>
      <c r="B16" s="17"/>
      <c r="C16" s="19"/>
      <c r="D16" s="251"/>
      <c r="E16" s="17"/>
      <c r="F16" s="19"/>
      <c r="G16" s="17"/>
      <c r="H16" s="19"/>
      <c r="I16" s="230"/>
    </row>
    <row r="17">
      <c r="A17" s="415">
        <v>46060.0</v>
      </c>
      <c r="B17" s="402" t="s">
        <v>225</v>
      </c>
      <c r="C17" s="10"/>
      <c r="D17" s="401"/>
      <c r="E17" s="400"/>
      <c r="F17" s="10"/>
      <c r="G17" s="402">
        <v>-50.0</v>
      </c>
      <c r="H17" s="10"/>
      <c r="I17" s="230"/>
    </row>
    <row r="18">
      <c r="A18" s="251"/>
      <c r="B18" s="17"/>
      <c r="C18" s="19"/>
      <c r="D18" s="251"/>
      <c r="E18" s="17"/>
      <c r="F18" s="19"/>
      <c r="G18" s="17"/>
      <c r="H18" s="19"/>
      <c r="I18" s="230"/>
    </row>
    <row r="19">
      <c r="A19" s="415">
        <v>46064.0</v>
      </c>
      <c r="B19" s="402" t="s">
        <v>225</v>
      </c>
      <c r="C19" s="10"/>
      <c r="D19" s="401"/>
      <c r="E19" s="400"/>
      <c r="F19" s="10"/>
      <c r="G19" s="402">
        <v>-100.0</v>
      </c>
      <c r="H19" s="10"/>
      <c r="I19" s="230"/>
    </row>
    <row r="20">
      <c r="A20" s="251"/>
      <c r="B20" s="17"/>
      <c r="C20" s="19"/>
      <c r="D20" s="251"/>
      <c r="E20" s="17"/>
      <c r="F20" s="19"/>
      <c r="G20" s="17"/>
      <c r="H20" s="19"/>
      <c r="I20" s="230"/>
    </row>
    <row r="21">
      <c r="A21" s="415">
        <v>46066.0</v>
      </c>
      <c r="B21" s="402" t="s">
        <v>120</v>
      </c>
      <c r="C21" s="10"/>
      <c r="D21" s="404" t="s">
        <v>608</v>
      </c>
      <c r="E21" s="400"/>
      <c r="F21" s="10"/>
      <c r="G21" s="402">
        <v>20.0</v>
      </c>
      <c r="H21" s="10"/>
      <c r="I21" s="230"/>
    </row>
    <row r="22">
      <c r="A22" s="251"/>
      <c r="B22" s="17"/>
      <c r="C22" s="19"/>
      <c r="D22" s="251"/>
      <c r="E22" s="17"/>
      <c r="F22" s="19"/>
      <c r="G22" s="17"/>
      <c r="H22" s="19"/>
      <c r="I22" s="230"/>
    </row>
    <row r="23">
      <c r="A23" s="415">
        <v>46066.0</v>
      </c>
      <c r="B23" s="402" t="s">
        <v>609</v>
      </c>
      <c r="C23" s="10"/>
      <c r="D23" s="404" t="s">
        <v>610</v>
      </c>
      <c r="E23" s="400"/>
      <c r="F23" s="10"/>
      <c r="G23" s="402">
        <v>50.0</v>
      </c>
      <c r="H23" s="10"/>
      <c r="I23" s="230"/>
    </row>
    <row r="24">
      <c r="A24" s="251"/>
      <c r="B24" s="17"/>
      <c r="C24" s="19"/>
      <c r="D24" s="251"/>
      <c r="E24" s="17"/>
      <c r="F24" s="19"/>
      <c r="G24" s="17"/>
      <c r="H24" s="19"/>
      <c r="I24" s="230"/>
    </row>
    <row r="25">
      <c r="A25" s="420">
        <v>46066.0</v>
      </c>
      <c r="B25" s="421" t="s">
        <v>607</v>
      </c>
      <c r="C25" s="10"/>
      <c r="D25" s="422"/>
      <c r="E25" s="423"/>
      <c r="F25" s="10"/>
      <c r="G25" s="421">
        <v>-70.0</v>
      </c>
      <c r="H25" s="10"/>
      <c r="I25" s="230"/>
    </row>
    <row r="26">
      <c r="A26" s="251"/>
      <c r="B26" s="17"/>
      <c r="C26" s="19"/>
      <c r="D26" s="251"/>
      <c r="E26" s="17"/>
      <c r="F26" s="19"/>
      <c r="G26" s="17"/>
      <c r="H26" s="19"/>
      <c r="I26" s="230"/>
    </row>
    <row r="27" ht="17.25" customHeight="1">
      <c r="A27" s="424"/>
      <c r="B27" s="400"/>
      <c r="C27" s="10"/>
      <c r="D27" s="401"/>
      <c r="E27" s="400"/>
      <c r="F27" s="10"/>
      <c r="G27" s="400"/>
      <c r="H27" s="10"/>
      <c r="I27" s="230"/>
    </row>
    <row r="28" ht="17.25" customHeight="1">
      <c r="A28" s="251"/>
      <c r="B28" s="17"/>
      <c r="C28" s="19"/>
      <c r="D28" s="251"/>
      <c r="E28" s="17"/>
      <c r="F28" s="19"/>
      <c r="G28" s="17"/>
      <c r="H28" s="19"/>
      <c r="I28" s="230"/>
    </row>
    <row r="29">
      <c r="A29" s="424"/>
      <c r="B29" s="400"/>
      <c r="C29" s="10"/>
      <c r="D29" s="401"/>
      <c r="E29" s="400"/>
      <c r="F29" s="10"/>
      <c r="G29" s="400"/>
      <c r="H29" s="10"/>
      <c r="I29" s="230"/>
    </row>
    <row r="30">
      <c r="A30" s="251"/>
      <c r="B30" s="17"/>
      <c r="C30" s="19"/>
      <c r="D30" s="251"/>
      <c r="E30" s="17"/>
      <c r="F30" s="19"/>
      <c r="G30" s="17"/>
      <c r="H30" s="19"/>
      <c r="I30" s="230"/>
    </row>
    <row r="31">
      <c r="A31" s="424"/>
      <c r="B31" s="400"/>
      <c r="C31" s="10"/>
      <c r="D31" s="401"/>
      <c r="E31" s="400"/>
      <c r="F31" s="10"/>
      <c r="G31" s="400"/>
      <c r="H31" s="10"/>
      <c r="I31" s="230"/>
    </row>
    <row r="32">
      <c r="A32" s="251"/>
      <c r="B32" s="17"/>
      <c r="C32" s="19"/>
      <c r="D32" s="251"/>
      <c r="E32" s="17"/>
      <c r="F32" s="19"/>
      <c r="G32" s="17"/>
      <c r="H32" s="19"/>
      <c r="I32" s="230"/>
    </row>
    <row r="33">
      <c r="A33" s="424"/>
      <c r="B33" s="400"/>
      <c r="C33" s="10"/>
      <c r="D33" s="401"/>
      <c r="E33" s="400"/>
      <c r="F33" s="10"/>
      <c r="G33" s="400"/>
      <c r="H33" s="10"/>
      <c r="I33" s="230"/>
    </row>
    <row r="34">
      <c r="A34" s="251"/>
      <c r="B34" s="17"/>
      <c r="C34" s="19"/>
      <c r="D34" s="251"/>
      <c r="E34" s="17"/>
      <c r="F34" s="19"/>
      <c r="G34" s="17"/>
      <c r="H34" s="19"/>
      <c r="I34" s="230"/>
    </row>
    <row r="35">
      <c r="A35" s="424"/>
      <c r="B35" s="400"/>
      <c r="C35" s="10"/>
      <c r="D35" s="401"/>
      <c r="E35" s="400"/>
      <c r="F35" s="10"/>
      <c r="G35" s="400"/>
      <c r="H35" s="10"/>
      <c r="I35" s="230"/>
    </row>
    <row r="36">
      <c r="A36" s="251"/>
      <c r="B36" s="17"/>
      <c r="C36" s="19"/>
      <c r="D36" s="251"/>
      <c r="E36" s="17"/>
      <c r="F36" s="19"/>
      <c r="G36" s="17"/>
      <c r="H36" s="19"/>
      <c r="I36" s="230"/>
    </row>
    <row r="37">
      <c r="A37" s="424"/>
      <c r="B37" s="400"/>
      <c r="C37" s="10"/>
      <c r="D37" s="401"/>
      <c r="E37" s="400"/>
      <c r="F37" s="10"/>
      <c r="G37" s="400"/>
      <c r="H37" s="10"/>
      <c r="I37" s="230"/>
    </row>
    <row r="38">
      <c r="A38" s="251"/>
      <c r="B38" s="17"/>
      <c r="C38" s="19"/>
      <c r="D38" s="251"/>
      <c r="E38" s="17"/>
      <c r="F38" s="19"/>
      <c r="G38" s="17"/>
      <c r="H38" s="19"/>
      <c r="I38" s="230"/>
    </row>
    <row r="39">
      <c r="A39" s="424"/>
      <c r="B39" s="400"/>
      <c r="C39" s="10"/>
      <c r="D39" s="401"/>
      <c r="E39" s="400"/>
      <c r="F39" s="10"/>
      <c r="G39" s="400"/>
      <c r="H39" s="10"/>
      <c r="I39" s="230"/>
    </row>
    <row r="40">
      <c r="A40" s="251"/>
      <c r="B40" s="17"/>
      <c r="C40" s="19"/>
      <c r="D40" s="251"/>
      <c r="E40" s="17"/>
      <c r="F40" s="19"/>
      <c r="G40" s="17"/>
      <c r="H40" s="19"/>
      <c r="I40" s="230"/>
    </row>
    <row r="41">
      <c r="A41" s="401"/>
      <c r="B41" s="400"/>
      <c r="C41" s="10"/>
      <c r="D41" s="401"/>
      <c r="E41" s="400"/>
      <c r="F41" s="10"/>
      <c r="G41" s="410">
        <f>SUM(G7:H40)</f>
        <v>-200</v>
      </c>
      <c r="H41" s="10"/>
      <c r="I41" s="230"/>
    </row>
    <row r="42">
      <c r="A42" s="251"/>
      <c r="B42" s="17"/>
      <c r="C42" s="19"/>
      <c r="D42" s="251"/>
      <c r="E42" s="17"/>
      <c r="F42" s="19"/>
      <c r="G42" s="17"/>
      <c r="H42" s="19"/>
      <c r="I42" s="230"/>
    </row>
    <row r="67">
      <c r="F67" s="96" t="s">
        <v>596</v>
      </c>
      <c r="G67" s="411">
        <v>0.1</v>
      </c>
    </row>
    <row r="68">
      <c r="F68" s="96" t="s">
        <v>599</v>
      </c>
    </row>
    <row r="69">
      <c r="F69" s="96" t="s">
        <v>600</v>
      </c>
      <c r="G69" s="411">
        <v>0.1</v>
      </c>
    </row>
    <row r="70">
      <c r="F70" s="96" t="s">
        <v>601</v>
      </c>
    </row>
    <row r="71">
      <c r="F71" s="96" t="s">
        <v>598</v>
      </c>
      <c r="G71" s="411">
        <v>0.12</v>
      </c>
    </row>
    <row r="72">
      <c r="F72" s="96" t="s">
        <v>602</v>
      </c>
    </row>
  </sheetData>
  <mergeCells count="145">
    <mergeCell ref="D19:D20"/>
    <mergeCell ref="E19:F20"/>
    <mergeCell ref="E21:F22"/>
    <mergeCell ref="G21:H22"/>
    <mergeCell ref="E23:F24"/>
    <mergeCell ref="G23:H24"/>
    <mergeCell ref="A19:A20"/>
    <mergeCell ref="A21:A22"/>
    <mergeCell ref="B21:C22"/>
    <mergeCell ref="D21:D22"/>
    <mergeCell ref="A23:A24"/>
    <mergeCell ref="B23:C24"/>
    <mergeCell ref="D23:D24"/>
    <mergeCell ref="D27:D28"/>
    <mergeCell ref="E27:F28"/>
    <mergeCell ref="A25:A26"/>
    <mergeCell ref="B25:C26"/>
    <mergeCell ref="D25:D26"/>
    <mergeCell ref="E25:F26"/>
    <mergeCell ref="G25:H26"/>
    <mergeCell ref="B27:C28"/>
    <mergeCell ref="G27:H28"/>
    <mergeCell ref="E31:F32"/>
    <mergeCell ref="G31:H32"/>
    <mergeCell ref="A27:A28"/>
    <mergeCell ref="A29:A30"/>
    <mergeCell ref="B29:C30"/>
    <mergeCell ref="D29:D30"/>
    <mergeCell ref="E29:F30"/>
    <mergeCell ref="G29:H30"/>
    <mergeCell ref="A31:A32"/>
    <mergeCell ref="E7:F8"/>
    <mergeCell ref="G7:H8"/>
    <mergeCell ref="E9:F10"/>
    <mergeCell ref="G9:H10"/>
    <mergeCell ref="E11:F12"/>
    <mergeCell ref="G11:H12"/>
    <mergeCell ref="A2:H4"/>
    <mergeCell ref="A5:A6"/>
    <mergeCell ref="B5:C6"/>
    <mergeCell ref="D5:D6"/>
    <mergeCell ref="E5:F6"/>
    <mergeCell ref="G5:H6"/>
    <mergeCell ref="A7:A8"/>
    <mergeCell ref="B13:C14"/>
    <mergeCell ref="D13:D14"/>
    <mergeCell ref="E13:F14"/>
    <mergeCell ref="G13:H14"/>
    <mergeCell ref="B7:C8"/>
    <mergeCell ref="D7:D8"/>
    <mergeCell ref="A9:A10"/>
    <mergeCell ref="B9:C10"/>
    <mergeCell ref="D9:D10"/>
    <mergeCell ref="B11:C12"/>
    <mergeCell ref="D11:D12"/>
    <mergeCell ref="A11:A12"/>
    <mergeCell ref="A13:A14"/>
    <mergeCell ref="A15:A16"/>
    <mergeCell ref="B15:C16"/>
    <mergeCell ref="D15:D16"/>
    <mergeCell ref="E15:F16"/>
    <mergeCell ref="G15:H16"/>
    <mergeCell ref="A17:A18"/>
    <mergeCell ref="B17:C18"/>
    <mergeCell ref="D17:D18"/>
    <mergeCell ref="E17:F18"/>
    <mergeCell ref="G17:H18"/>
    <mergeCell ref="B19:C20"/>
    <mergeCell ref="G19:H20"/>
    <mergeCell ref="B31:C32"/>
    <mergeCell ref="D31:D32"/>
    <mergeCell ref="A33:A34"/>
    <mergeCell ref="B33:C34"/>
    <mergeCell ref="D33:D34"/>
    <mergeCell ref="E33:F34"/>
    <mergeCell ref="G33:H34"/>
    <mergeCell ref="G101:H102"/>
    <mergeCell ref="G103:H104"/>
    <mergeCell ref="G105:H106"/>
    <mergeCell ref="G107:H108"/>
    <mergeCell ref="G109:H110"/>
    <mergeCell ref="G111:H112"/>
    <mergeCell ref="G113:H114"/>
    <mergeCell ref="G129:H130"/>
    <mergeCell ref="G131:H132"/>
    <mergeCell ref="G133:H134"/>
    <mergeCell ref="G135:H136"/>
    <mergeCell ref="G137:H138"/>
    <mergeCell ref="G139:H140"/>
    <mergeCell ref="G115:H116"/>
    <mergeCell ref="G117:H118"/>
    <mergeCell ref="G119:H120"/>
    <mergeCell ref="G121:H122"/>
    <mergeCell ref="G123:H124"/>
    <mergeCell ref="G125:H126"/>
    <mergeCell ref="G127:H128"/>
    <mergeCell ref="A37:A38"/>
    <mergeCell ref="A39:A40"/>
    <mergeCell ref="B39:C40"/>
    <mergeCell ref="D39:D40"/>
    <mergeCell ref="A41:A42"/>
    <mergeCell ref="B41:C42"/>
    <mergeCell ref="D41:D42"/>
    <mergeCell ref="A35:A36"/>
    <mergeCell ref="B35:C36"/>
    <mergeCell ref="D35:D36"/>
    <mergeCell ref="E35:F36"/>
    <mergeCell ref="G35:H36"/>
    <mergeCell ref="B37:C38"/>
    <mergeCell ref="G37:H38"/>
    <mergeCell ref="D37:D38"/>
    <mergeCell ref="E37:F38"/>
    <mergeCell ref="E39:F40"/>
    <mergeCell ref="G39:H40"/>
    <mergeCell ref="E41:F42"/>
    <mergeCell ref="G41:H42"/>
    <mergeCell ref="G43:H44"/>
    <mergeCell ref="G45:H46"/>
    <mergeCell ref="G47:H48"/>
    <mergeCell ref="G49:H50"/>
    <mergeCell ref="G51:H52"/>
    <mergeCell ref="G53:H54"/>
    <mergeCell ref="G55:H56"/>
    <mergeCell ref="G57:H58"/>
    <mergeCell ref="G59:H60"/>
    <mergeCell ref="G61:H62"/>
    <mergeCell ref="G63:H64"/>
    <mergeCell ref="G65:H66"/>
    <mergeCell ref="G67:H68"/>
    <mergeCell ref="G69:H70"/>
    <mergeCell ref="G71:H72"/>
    <mergeCell ref="G73:H74"/>
    <mergeCell ref="G75:H76"/>
    <mergeCell ref="G77:H78"/>
    <mergeCell ref="G79:H80"/>
    <mergeCell ref="G81:H82"/>
    <mergeCell ref="G83:H84"/>
    <mergeCell ref="G85:H86"/>
    <mergeCell ref="G87:H88"/>
    <mergeCell ref="G89:H90"/>
    <mergeCell ref="G91:H92"/>
    <mergeCell ref="G93:H94"/>
    <mergeCell ref="G95:H96"/>
    <mergeCell ref="G97:H98"/>
    <mergeCell ref="G99:H100"/>
  </mergeCells>
  <conditionalFormatting sqref="A2:I2">
    <cfRule type="notContainsBlanks" dxfId="0" priority="1">
      <formula>LEN(TRIM(A2))&gt;0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2" max="2" width="21.43"/>
    <col customWidth="1" min="3" max="3" width="18.57"/>
    <col customWidth="1" min="4" max="4" width="21.14"/>
    <col customWidth="1" min="5" max="5" width="18.86"/>
    <col customWidth="1" min="6" max="6" width="37.29"/>
    <col customWidth="1" min="7" max="7" width="18.29"/>
    <col customWidth="1" min="8" max="8" width="18.86"/>
    <col customWidth="1" min="9" max="9" width="17.86"/>
    <col customWidth="1" min="10" max="10" width="17.43"/>
    <col customWidth="1" min="11" max="11" width="18.0"/>
    <col customWidth="1" min="12" max="12" width="20.14"/>
    <col customWidth="1" min="14" max="14" width="15.14"/>
  </cols>
  <sheetData>
    <row r="1">
      <c r="A1" s="425" t="s">
        <v>611</v>
      </c>
      <c r="B1" s="229"/>
      <c r="C1" s="229"/>
      <c r="D1" s="229"/>
      <c r="E1" s="229"/>
      <c r="F1" s="229"/>
      <c r="G1" s="229"/>
      <c r="H1" s="229"/>
      <c r="I1" s="229"/>
      <c r="J1" s="229"/>
      <c r="K1" s="229"/>
      <c r="L1" s="144"/>
    </row>
    <row r="2">
      <c r="A2" s="426"/>
      <c r="B2" s="427"/>
      <c r="C2" s="427"/>
      <c r="D2" s="427"/>
      <c r="E2" s="427"/>
      <c r="F2" s="427"/>
      <c r="G2" s="427"/>
      <c r="H2" s="427"/>
      <c r="I2" s="427"/>
      <c r="J2" s="427"/>
      <c r="K2" s="427"/>
      <c r="L2" s="428"/>
    </row>
    <row r="3">
      <c r="A3" s="429" t="s">
        <v>612</v>
      </c>
      <c r="B3" s="430"/>
      <c r="C3" s="431"/>
      <c r="D3" s="393"/>
      <c r="E3" s="429" t="s">
        <v>612</v>
      </c>
      <c r="F3" s="430"/>
      <c r="G3" s="431" t="s">
        <v>613</v>
      </c>
      <c r="H3" s="393"/>
      <c r="I3" s="429" t="s">
        <v>612</v>
      </c>
      <c r="J3" s="430"/>
      <c r="K3" s="431" t="s">
        <v>614</v>
      </c>
      <c r="L3" s="393"/>
    </row>
    <row r="4">
      <c r="A4" s="432" t="s">
        <v>615</v>
      </c>
      <c r="C4" s="433"/>
      <c r="D4" s="434"/>
      <c r="E4" s="432" t="s">
        <v>615</v>
      </c>
      <c r="G4" s="433" t="s">
        <v>616</v>
      </c>
      <c r="H4" s="434"/>
      <c r="I4" s="432" t="s">
        <v>615</v>
      </c>
      <c r="K4" s="433"/>
      <c r="L4" s="434"/>
    </row>
    <row r="5">
      <c r="A5" s="432" t="s">
        <v>617</v>
      </c>
      <c r="C5" s="435"/>
      <c r="D5" s="434"/>
      <c r="E5" s="432" t="s">
        <v>617</v>
      </c>
      <c r="G5" s="433"/>
      <c r="H5" s="434"/>
      <c r="I5" s="432" t="s">
        <v>617</v>
      </c>
      <c r="K5" s="433">
        <v>1500.0</v>
      </c>
      <c r="L5" s="434"/>
    </row>
    <row r="6">
      <c r="A6" s="432" t="s">
        <v>618</v>
      </c>
      <c r="C6" s="433"/>
      <c r="D6" s="434"/>
      <c r="E6" s="432" t="s">
        <v>618</v>
      </c>
      <c r="G6" s="433" t="s">
        <v>619</v>
      </c>
      <c r="H6" s="434"/>
      <c r="I6" s="432" t="s">
        <v>618</v>
      </c>
      <c r="K6" s="433" t="s">
        <v>620</v>
      </c>
      <c r="L6" s="434"/>
    </row>
    <row r="7">
      <c r="A7" s="432" t="s">
        <v>621</v>
      </c>
      <c r="C7" s="433"/>
      <c r="D7" s="434"/>
      <c r="E7" s="436" t="s">
        <v>621</v>
      </c>
      <c r="F7" s="427"/>
      <c r="G7" s="433"/>
      <c r="H7" s="434"/>
      <c r="I7" s="436" t="s">
        <v>621</v>
      </c>
      <c r="J7" s="427"/>
      <c r="K7" s="433"/>
      <c r="L7" s="434"/>
    </row>
    <row r="8">
      <c r="A8" s="436" t="s">
        <v>622</v>
      </c>
      <c r="B8" s="427"/>
      <c r="C8" s="437"/>
      <c r="D8" s="438"/>
      <c r="E8" s="436" t="s">
        <v>622</v>
      </c>
      <c r="F8" s="427"/>
      <c r="G8" s="437">
        <v>2.8264057E7</v>
      </c>
      <c r="H8" s="438"/>
      <c r="I8" s="436" t="s">
        <v>622</v>
      </c>
      <c r="J8" s="427"/>
      <c r="K8" s="437"/>
      <c r="L8" s="438"/>
    </row>
    <row r="9">
      <c r="A9" s="439" t="s">
        <v>623</v>
      </c>
      <c r="B9" s="226"/>
      <c r="C9" s="226"/>
      <c r="D9" s="440"/>
      <c r="E9" s="439" t="s">
        <v>623</v>
      </c>
      <c r="F9" s="226"/>
      <c r="G9" s="226"/>
      <c r="H9" s="440"/>
      <c r="I9" s="439" t="s">
        <v>623</v>
      </c>
      <c r="J9" s="226"/>
      <c r="K9" s="226"/>
      <c r="L9" s="440"/>
    </row>
    <row r="10">
      <c r="A10" s="441" t="s">
        <v>24</v>
      </c>
      <c r="B10" s="442" t="s">
        <v>624</v>
      </c>
      <c r="C10" s="442" t="s">
        <v>25</v>
      </c>
      <c r="D10" s="443" t="s">
        <v>625</v>
      </c>
      <c r="E10" s="441" t="s">
        <v>24</v>
      </c>
      <c r="F10" s="442" t="s">
        <v>624</v>
      </c>
      <c r="G10" s="442" t="s">
        <v>25</v>
      </c>
      <c r="H10" s="443" t="s">
        <v>625</v>
      </c>
      <c r="I10" s="441" t="s">
        <v>24</v>
      </c>
      <c r="J10" s="442" t="s">
        <v>624</v>
      </c>
      <c r="K10" s="442" t="s">
        <v>25</v>
      </c>
      <c r="L10" s="443" t="s">
        <v>625</v>
      </c>
    </row>
    <row r="11">
      <c r="A11" s="444"/>
      <c r="B11" s="445"/>
      <c r="C11" s="446"/>
      <c r="D11" s="447"/>
      <c r="E11" s="444"/>
      <c r="F11" s="448" t="s">
        <v>181</v>
      </c>
      <c r="G11" s="448">
        <v>35.0</v>
      </c>
      <c r="H11" s="447"/>
      <c r="I11" s="449"/>
      <c r="J11" s="450"/>
      <c r="K11" s="450"/>
      <c r="L11" s="447"/>
    </row>
    <row r="12" ht="27.75" customHeight="1">
      <c r="A12" s="444"/>
      <c r="B12" s="446"/>
      <c r="C12" s="446"/>
      <c r="D12" s="447"/>
      <c r="E12" s="444"/>
      <c r="F12" s="450"/>
      <c r="G12" s="450"/>
      <c r="H12" s="447"/>
      <c r="I12" s="444"/>
      <c r="J12" s="451" t="s">
        <v>626</v>
      </c>
      <c r="K12" s="450">
        <v>1560.0</v>
      </c>
      <c r="L12" s="447"/>
    </row>
    <row r="13">
      <c r="A13" s="444"/>
      <c r="B13" s="446"/>
      <c r="C13" s="446"/>
      <c r="D13" s="447"/>
      <c r="E13" s="444"/>
      <c r="F13" s="450"/>
      <c r="G13" s="450"/>
      <c r="H13" s="447"/>
      <c r="I13" s="444"/>
      <c r="J13" s="450" t="s">
        <v>627</v>
      </c>
      <c r="K13" s="450">
        <v>423.0</v>
      </c>
      <c r="L13" s="447"/>
    </row>
    <row r="14">
      <c r="A14" s="444"/>
      <c r="B14" s="446"/>
      <c r="C14" s="446"/>
      <c r="D14" s="447"/>
      <c r="E14" s="444"/>
      <c r="F14" s="450"/>
      <c r="G14" s="450"/>
      <c r="H14" s="447"/>
      <c r="I14" s="444"/>
      <c r="J14" s="450" t="s">
        <v>628</v>
      </c>
      <c r="K14" s="450">
        <v>200.0</v>
      </c>
      <c r="L14" s="447"/>
    </row>
    <row r="15">
      <c r="A15" s="444"/>
      <c r="B15" s="446"/>
      <c r="C15" s="446"/>
      <c r="D15" s="447"/>
      <c r="E15" s="444"/>
      <c r="F15" s="450"/>
      <c r="G15" s="450"/>
      <c r="H15" s="447"/>
      <c r="I15" s="444"/>
      <c r="J15" s="450" t="s">
        <v>181</v>
      </c>
      <c r="K15" s="450">
        <v>150.0</v>
      </c>
      <c r="L15" s="447"/>
    </row>
    <row r="16">
      <c r="A16" s="444"/>
      <c r="B16" s="450"/>
      <c r="C16" s="450"/>
      <c r="D16" s="447"/>
      <c r="E16" s="444"/>
      <c r="F16" s="450"/>
      <c r="G16" s="450"/>
      <c r="H16" s="447"/>
      <c r="I16" s="444"/>
      <c r="J16" s="450" t="s">
        <v>629</v>
      </c>
      <c r="K16" s="450">
        <v>152.0</v>
      </c>
      <c r="L16" s="447"/>
    </row>
    <row r="17">
      <c r="A17" s="444"/>
      <c r="B17" s="450"/>
      <c r="C17" s="450"/>
      <c r="D17" s="447"/>
      <c r="E17" s="444"/>
      <c r="F17" s="450"/>
      <c r="G17" s="450"/>
      <c r="H17" s="447"/>
      <c r="I17" s="444"/>
      <c r="J17" s="450"/>
      <c r="K17" s="450"/>
      <c r="L17" s="447"/>
      <c r="N17" s="96">
        <v>9.3849989E7</v>
      </c>
    </row>
    <row r="18">
      <c r="A18" s="444"/>
      <c r="B18" s="450"/>
      <c r="C18" s="450"/>
      <c r="D18" s="447"/>
      <c r="E18" s="444"/>
      <c r="F18" s="450"/>
      <c r="G18" s="450"/>
      <c r="H18" s="447"/>
      <c r="I18" s="444"/>
      <c r="J18" s="450"/>
      <c r="K18" s="450"/>
      <c r="L18" s="447"/>
      <c r="N18" s="96" t="s">
        <v>630</v>
      </c>
    </row>
    <row r="19">
      <c r="A19" s="444"/>
      <c r="B19" s="450"/>
      <c r="C19" s="450"/>
      <c r="D19" s="447"/>
      <c r="E19" s="444"/>
      <c r="F19" s="450"/>
      <c r="G19" s="450"/>
      <c r="H19" s="447"/>
      <c r="I19" s="444"/>
      <c r="J19" s="450"/>
      <c r="K19" s="450"/>
      <c r="L19" s="447"/>
      <c r="N19" s="96" t="s">
        <v>631</v>
      </c>
    </row>
    <row r="20">
      <c r="A20" s="444"/>
      <c r="B20" s="450"/>
      <c r="C20" s="450"/>
      <c r="D20" s="450"/>
      <c r="E20" s="444"/>
      <c r="F20" s="450"/>
      <c r="G20" s="450"/>
      <c r="H20" s="447"/>
      <c r="I20" s="444"/>
      <c r="J20" s="450"/>
      <c r="K20" s="450"/>
      <c r="L20" s="447"/>
      <c r="N20" s="96" t="s">
        <v>632</v>
      </c>
    </row>
    <row r="21">
      <c r="A21" s="444"/>
      <c r="B21" s="450"/>
      <c r="C21" s="450"/>
      <c r="D21" s="450"/>
      <c r="E21" s="444"/>
      <c r="F21" s="450"/>
      <c r="G21" s="450"/>
      <c r="H21" s="447"/>
      <c r="I21" s="444"/>
      <c r="J21" s="450"/>
      <c r="K21" s="450"/>
      <c r="L21" s="447"/>
      <c r="N21" s="96" t="s">
        <v>633</v>
      </c>
    </row>
    <row r="22">
      <c r="A22" s="444"/>
      <c r="B22" s="450"/>
      <c r="C22" s="450"/>
      <c r="D22" s="447"/>
      <c r="E22" s="444"/>
      <c r="F22" s="450"/>
      <c r="G22" s="450"/>
      <c r="H22" s="447"/>
      <c r="I22" s="444"/>
      <c r="J22" s="450"/>
      <c r="K22" s="450"/>
      <c r="L22" s="447"/>
      <c r="N22" s="96" t="s">
        <v>634</v>
      </c>
      <c r="O22" s="96" t="s">
        <v>635</v>
      </c>
    </row>
    <row r="23">
      <c r="A23" s="444"/>
      <c r="B23" s="450"/>
      <c r="C23" s="450"/>
      <c r="D23" s="447"/>
      <c r="E23" s="444"/>
      <c r="F23" s="450"/>
      <c r="G23" s="450"/>
      <c r="H23" s="447"/>
      <c r="I23" s="444"/>
      <c r="J23" s="450"/>
      <c r="K23" s="450"/>
      <c r="L23" s="447"/>
    </row>
    <row r="24">
      <c r="A24" s="444"/>
      <c r="B24" s="450"/>
      <c r="C24" s="450"/>
      <c r="D24" s="447"/>
      <c r="E24" s="444"/>
      <c r="F24" s="450"/>
      <c r="G24" s="450"/>
      <c r="H24" s="447"/>
      <c r="I24" s="444"/>
      <c r="J24" s="450"/>
      <c r="K24" s="450"/>
      <c r="L24" s="447"/>
    </row>
    <row r="25">
      <c r="A25" s="444"/>
      <c r="B25" s="450"/>
      <c r="C25" s="450"/>
      <c r="D25" s="447"/>
      <c r="E25" s="444"/>
      <c r="F25" s="450"/>
      <c r="G25" s="450"/>
      <c r="H25" s="447"/>
      <c r="I25" s="444"/>
      <c r="J25" s="450"/>
      <c r="K25" s="450"/>
      <c r="L25" s="447"/>
    </row>
    <row r="26">
      <c r="A26" s="444"/>
      <c r="B26" s="450"/>
      <c r="C26" s="450"/>
      <c r="D26" s="447"/>
      <c r="E26" s="444"/>
      <c r="F26" s="450"/>
      <c r="G26" s="450"/>
      <c r="H26" s="447"/>
      <c r="I26" s="444"/>
      <c r="J26" s="450"/>
      <c r="K26" s="450"/>
      <c r="L26" s="447"/>
    </row>
    <row r="27">
      <c r="A27" s="444"/>
      <c r="B27" s="450"/>
      <c r="C27" s="450"/>
      <c r="D27" s="447"/>
      <c r="E27" s="444"/>
      <c r="F27" s="450"/>
      <c r="G27" s="450"/>
      <c r="H27" s="447"/>
      <c r="I27" s="444"/>
      <c r="J27" s="450"/>
      <c r="K27" s="450"/>
      <c r="L27" s="447"/>
    </row>
    <row r="28">
      <c r="A28" s="444"/>
      <c r="B28" s="450"/>
      <c r="C28" s="450"/>
      <c r="D28" s="447"/>
      <c r="E28" s="444"/>
      <c r="F28" s="450"/>
      <c r="G28" s="450"/>
      <c r="H28" s="447"/>
      <c r="I28" s="444"/>
      <c r="J28" s="450"/>
      <c r="K28" s="450"/>
      <c r="L28" s="447"/>
    </row>
    <row r="29">
      <c r="A29" s="444"/>
      <c r="B29" s="450"/>
      <c r="C29" s="450"/>
      <c r="D29" s="447"/>
      <c r="E29" s="444"/>
      <c r="F29" s="450"/>
      <c r="G29" s="450"/>
      <c r="H29" s="447"/>
      <c r="I29" s="444"/>
      <c r="J29" s="450"/>
      <c r="K29" s="450"/>
      <c r="L29" s="447"/>
    </row>
    <row r="30">
      <c r="A30" s="452"/>
      <c r="B30" s="453"/>
      <c r="C30" s="454" t="s">
        <v>636</v>
      </c>
      <c r="D30" s="455">
        <f>C5-(SUM(C11:C29))</f>
        <v>0</v>
      </c>
      <c r="E30" s="452"/>
      <c r="F30" s="453"/>
      <c r="G30" s="454" t="s">
        <v>636</v>
      </c>
      <c r="H30" s="455">
        <f>G5-(SUM(G11:G29))</f>
        <v>-35</v>
      </c>
      <c r="I30" s="456"/>
      <c r="J30" s="457"/>
      <c r="K30" s="454" t="s">
        <v>636</v>
      </c>
      <c r="L30" s="455">
        <f>K5-(SUM(K11:K29))</f>
        <v>-985</v>
      </c>
    </row>
    <row r="31">
      <c r="A31" s="429" t="s">
        <v>612</v>
      </c>
      <c r="B31" s="430"/>
      <c r="C31" s="431"/>
      <c r="D31" s="393"/>
      <c r="E31" s="429" t="s">
        <v>612</v>
      </c>
      <c r="F31" s="430"/>
      <c r="G31" s="458"/>
      <c r="H31" s="393"/>
      <c r="I31" s="429" t="s">
        <v>612</v>
      </c>
      <c r="J31" s="430"/>
      <c r="K31" s="431"/>
      <c r="L31" s="393"/>
    </row>
    <row r="32">
      <c r="A32" s="432" t="s">
        <v>615</v>
      </c>
      <c r="C32" s="433"/>
      <c r="D32" s="434"/>
      <c r="E32" s="432" t="s">
        <v>615</v>
      </c>
      <c r="G32" s="435"/>
      <c r="H32" s="434"/>
      <c r="I32" s="432" t="s">
        <v>615</v>
      </c>
      <c r="K32" s="433"/>
      <c r="L32" s="434"/>
      <c r="N32" s="96"/>
    </row>
    <row r="33">
      <c r="A33" s="432" t="s">
        <v>617</v>
      </c>
      <c r="C33" s="433"/>
      <c r="D33" s="434"/>
      <c r="E33" s="432" t="s">
        <v>617</v>
      </c>
      <c r="G33" s="433"/>
      <c r="H33" s="434"/>
      <c r="I33" s="432" t="s">
        <v>617</v>
      </c>
      <c r="K33" s="433"/>
      <c r="L33" s="434"/>
      <c r="N33" s="96"/>
    </row>
    <row r="34">
      <c r="A34" s="432" t="s">
        <v>618</v>
      </c>
      <c r="C34" s="433"/>
      <c r="D34" s="434"/>
      <c r="E34" s="432" t="s">
        <v>618</v>
      </c>
      <c r="G34" s="433"/>
      <c r="H34" s="434"/>
      <c r="I34" s="432" t="s">
        <v>618</v>
      </c>
      <c r="K34" s="433"/>
      <c r="L34" s="434"/>
    </row>
    <row r="35">
      <c r="A35" s="432"/>
      <c r="B35" s="432" t="s">
        <v>637</v>
      </c>
      <c r="C35" s="433"/>
      <c r="D35" s="434"/>
      <c r="E35" s="432"/>
      <c r="F35" s="432" t="s">
        <v>637</v>
      </c>
      <c r="G35" s="433"/>
      <c r="H35" s="434"/>
      <c r="I35" s="432"/>
      <c r="J35" s="432" t="s">
        <v>621</v>
      </c>
      <c r="K35" s="433"/>
      <c r="L35" s="434"/>
    </row>
    <row r="36">
      <c r="A36" s="436" t="s">
        <v>622</v>
      </c>
      <c r="B36" s="427"/>
      <c r="C36" s="437"/>
      <c r="D36" s="438"/>
      <c r="E36" s="436" t="s">
        <v>622</v>
      </c>
      <c r="F36" s="427"/>
      <c r="G36" s="437"/>
      <c r="H36" s="438"/>
      <c r="I36" s="436" t="s">
        <v>622</v>
      </c>
      <c r="J36" s="427"/>
      <c r="K36" s="437"/>
      <c r="L36" s="438"/>
    </row>
    <row r="37">
      <c r="A37" s="439" t="s">
        <v>623</v>
      </c>
      <c r="B37" s="226"/>
      <c r="C37" s="226"/>
      <c r="D37" s="440"/>
      <c r="E37" s="439" t="s">
        <v>623</v>
      </c>
      <c r="F37" s="226"/>
      <c r="G37" s="226"/>
      <c r="H37" s="440"/>
      <c r="I37" s="439" t="s">
        <v>623</v>
      </c>
      <c r="J37" s="226"/>
      <c r="K37" s="226"/>
      <c r="L37" s="440"/>
    </row>
    <row r="38">
      <c r="A38" s="441" t="s">
        <v>24</v>
      </c>
      <c r="B38" s="442" t="s">
        <v>624</v>
      </c>
      <c r="C38" s="442" t="s">
        <v>25</v>
      </c>
      <c r="D38" s="443" t="s">
        <v>625</v>
      </c>
      <c r="E38" s="441" t="s">
        <v>24</v>
      </c>
      <c r="F38" s="442" t="s">
        <v>624</v>
      </c>
      <c r="G38" s="442" t="s">
        <v>25</v>
      </c>
      <c r="H38" s="443" t="s">
        <v>625</v>
      </c>
      <c r="I38" s="441" t="s">
        <v>24</v>
      </c>
      <c r="J38" s="442" t="s">
        <v>624</v>
      </c>
      <c r="K38" s="442" t="s">
        <v>25</v>
      </c>
      <c r="L38" s="443" t="s">
        <v>625</v>
      </c>
    </row>
    <row r="39">
      <c r="A39" s="459"/>
      <c r="B39" s="450"/>
      <c r="C39" s="445"/>
      <c r="D39" s="460"/>
      <c r="E39" s="461"/>
      <c r="F39" s="446"/>
      <c r="G39" s="446"/>
      <c r="H39" s="460"/>
      <c r="I39" s="461"/>
      <c r="J39" s="174"/>
      <c r="K39" s="174"/>
      <c r="L39" s="460"/>
    </row>
    <row r="40">
      <c r="A40" s="462"/>
      <c r="B40" s="445"/>
      <c r="C40" s="445"/>
      <c r="D40" s="460"/>
      <c r="E40" s="462"/>
      <c r="F40" s="446"/>
      <c r="G40" s="446"/>
      <c r="H40" s="460"/>
      <c r="I40" s="462"/>
      <c r="J40" s="174"/>
      <c r="K40" s="174"/>
      <c r="L40" s="460"/>
    </row>
    <row r="41">
      <c r="A41" s="462"/>
      <c r="B41" s="445"/>
      <c r="C41" s="445"/>
      <c r="D41" s="460"/>
      <c r="E41" s="462"/>
      <c r="F41" s="445"/>
      <c r="G41" s="445"/>
      <c r="H41" s="460"/>
      <c r="I41" s="462"/>
      <c r="J41" s="174"/>
      <c r="K41" s="174"/>
      <c r="L41" s="460"/>
      <c r="M41" s="96"/>
      <c r="N41" s="96"/>
      <c r="Q41" s="96"/>
    </row>
    <row r="42">
      <c r="A42" s="462"/>
      <c r="B42" s="446"/>
      <c r="C42" s="445"/>
      <c r="D42" s="460"/>
      <c r="E42" s="462"/>
      <c r="F42" s="445"/>
      <c r="G42" s="445"/>
      <c r="H42" s="460"/>
      <c r="I42" s="462"/>
      <c r="J42" s="174"/>
      <c r="K42" s="174"/>
      <c r="L42" s="460"/>
    </row>
    <row r="43">
      <c r="A43" s="462"/>
      <c r="B43" s="445"/>
      <c r="C43" s="445"/>
      <c r="D43" s="460"/>
      <c r="E43" s="462"/>
      <c r="F43" s="445"/>
      <c r="G43" s="445"/>
      <c r="H43" s="460"/>
      <c r="I43" s="462"/>
      <c r="J43" s="174"/>
      <c r="K43" s="174"/>
      <c r="L43" s="460"/>
    </row>
    <row r="44">
      <c r="A44" s="462"/>
      <c r="B44" s="445"/>
      <c r="C44" s="445"/>
      <c r="D44" s="460"/>
      <c r="E44" s="462"/>
      <c r="F44" s="445"/>
      <c r="G44" s="445"/>
      <c r="H44" s="460"/>
      <c r="I44" s="462"/>
      <c r="J44" s="174"/>
      <c r="K44" s="174"/>
      <c r="L44" s="460"/>
    </row>
    <row r="45">
      <c r="A45" s="462"/>
      <c r="B45" s="445"/>
      <c r="C45" s="445"/>
      <c r="D45" s="460"/>
      <c r="E45" s="462"/>
      <c r="F45" s="445"/>
      <c r="G45" s="445"/>
      <c r="H45" s="460"/>
      <c r="I45" s="462"/>
      <c r="J45" s="174"/>
      <c r="K45" s="174"/>
      <c r="L45" s="460"/>
    </row>
    <row r="46">
      <c r="A46" s="462"/>
      <c r="B46" s="445"/>
      <c r="C46" s="445"/>
      <c r="D46" s="460"/>
      <c r="E46" s="462"/>
      <c r="F46" s="445"/>
      <c r="G46" s="445"/>
      <c r="H46" s="460"/>
      <c r="I46" s="462"/>
      <c r="J46" s="174"/>
      <c r="K46" s="174"/>
      <c r="L46" s="460"/>
    </row>
    <row r="47">
      <c r="A47" s="462"/>
      <c r="B47" s="445"/>
      <c r="C47" s="445"/>
      <c r="D47" s="460"/>
      <c r="E47" s="462"/>
      <c r="F47" s="445"/>
      <c r="G47" s="445"/>
      <c r="H47" s="460"/>
      <c r="I47" s="462"/>
      <c r="J47" s="174"/>
      <c r="K47" s="174"/>
      <c r="L47" s="460"/>
    </row>
    <row r="48">
      <c r="A48" s="462"/>
      <c r="B48" s="445"/>
      <c r="C48" s="445"/>
      <c r="D48" s="460"/>
      <c r="E48" s="462"/>
      <c r="F48" s="445"/>
      <c r="G48" s="445"/>
      <c r="H48" s="460"/>
      <c r="I48" s="462"/>
      <c r="J48" s="174"/>
      <c r="K48" s="174"/>
      <c r="L48" s="460"/>
    </row>
    <row r="49">
      <c r="A49" s="462"/>
      <c r="B49" s="445"/>
      <c r="C49" s="445"/>
      <c r="D49" s="460"/>
      <c r="E49" s="462"/>
      <c r="F49" s="445"/>
      <c r="G49" s="445"/>
      <c r="H49" s="460"/>
      <c r="I49" s="462"/>
      <c r="J49" s="174"/>
      <c r="K49" s="174"/>
      <c r="L49" s="460"/>
    </row>
    <row r="50">
      <c r="A50" s="462"/>
      <c r="B50" s="445"/>
      <c r="C50" s="445"/>
      <c r="D50" s="460"/>
      <c r="E50" s="462"/>
      <c r="F50" s="445"/>
      <c r="G50" s="445"/>
      <c r="H50" s="460"/>
      <c r="I50" s="462"/>
      <c r="J50" s="174"/>
      <c r="K50" s="174"/>
      <c r="L50" s="460"/>
    </row>
    <row r="51">
      <c r="A51" s="462"/>
      <c r="B51" s="445"/>
      <c r="C51" s="445"/>
      <c r="D51" s="460"/>
      <c r="E51" s="462"/>
      <c r="F51" s="445"/>
      <c r="G51" s="445"/>
      <c r="H51" s="460"/>
      <c r="I51" s="462"/>
      <c r="J51" s="174"/>
      <c r="K51" s="174"/>
      <c r="L51" s="460"/>
    </row>
    <row r="52">
      <c r="A52" s="462"/>
      <c r="B52" s="445"/>
      <c r="C52" s="445"/>
      <c r="D52" s="460"/>
      <c r="E52" s="462"/>
      <c r="F52" s="445"/>
      <c r="G52" s="445"/>
      <c r="H52" s="460"/>
      <c r="I52" s="462"/>
      <c r="J52" s="174"/>
      <c r="K52" s="174"/>
      <c r="L52" s="460"/>
    </row>
    <row r="53">
      <c r="A53" s="462"/>
      <c r="B53" s="445"/>
      <c r="C53" s="445"/>
      <c r="D53" s="460"/>
      <c r="E53" s="462"/>
      <c r="F53" s="445"/>
      <c r="G53" s="445"/>
      <c r="H53" s="460"/>
      <c r="I53" s="462"/>
      <c r="J53" s="174"/>
      <c r="K53" s="174"/>
      <c r="L53" s="460"/>
    </row>
    <row r="54">
      <c r="A54" s="462"/>
      <c r="B54" s="445"/>
      <c r="C54" s="445"/>
      <c r="D54" s="460"/>
      <c r="E54" s="462"/>
      <c r="F54" s="445"/>
      <c r="G54" s="445"/>
      <c r="H54" s="460"/>
      <c r="I54" s="462"/>
      <c r="J54" s="174"/>
      <c r="K54" s="174"/>
      <c r="L54" s="460"/>
    </row>
    <row r="55">
      <c r="A55" s="462"/>
      <c r="B55" s="445"/>
      <c r="C55" s="445"/>
      <c r="D55" s="460"/>
      <c r="E55" s="462"/>
      <c r="F55" s="445"/>
      <c r="G55" s="445"/>
      <c r="H55" s="460"/>
      <c r="I55" s="462"/>
      <c r="J55" s="174"/>
      <c r="K55" s="174"/>
      <c r="L55" s="460"/>
    </row>
    <row r="56">
      <c r="A56" s="462"/>
      <c r="B56" s="445"/>
      <c r="C56" s="445"/>
      <c r="D56" s="460"/>
      <c r="E56" s="462"/>
      <c r="F56" s="445"/>
      <c r="G56" s="445"/>
      <c r="H56" s="460"/>
      <c r="I56" s="462"/>
      <c r="J56" s="174"/>
      <c r="K56" s="174"/>
      <c r="L56" s="460"/>
    </row>
    <row r="57">
      <c r="A57" s="462"/>
      <c r="B57" s="445"/>
      <c r="C57" s="445"/>
      <c r="D57" s="460"/>
      <c r="E57" s="462"/>
      <c r="F57" s="445"/>
      <c r="G57" s="445"/>
      <c r="H57" s="460"/>
      <c r="I57" s="462"/>
      <c r="J57" s="174"/>
      <c r="K57" s="174"/>
      <c r="L57" s="460"/>
    </row>
    <row r="58">
      <c r="A58" s="452"/>
      <c r="B58" s="453"/>
      <c r="C58" s="454" t="s">
        <v>636</v>
      </c>
      <c r="D58" s="455">
        <f>C33-(SUM(C39:C57))</f>
        <v>0</v>
      </c>
      <c r="E58" s="456"/>
      <c r="F58" s="457"/>
      <c r="G58" s="454" t="s">
        <v>636</v>
      </c>
      <c r="H58" s="455">
        <f>G33-(SUM(G39:G57))</f>
        <v>0</v>
      </c>
      <c r="I58" s="456"/>
      <c r="J58" s="457"/>
      <c r="K58" s="454" t="s">
        <v>636</v>
      </c>
      <c r="L58" s="455">
        <f>K33-(SUM(K39:K57))</f>
        <v>0</v>
      </c>
    </row>
    <row r="59">
      <c r="A59" s="429" t="s">
        <v>612</v>
      </c>
      <c r="B59" s="430"/>
      <c r="C59" s="431" t="s">
        <v>249</v>
      </c>
      <c r="D59" s="393"/>
      <c r="E59" s="429" t="s">
        <v>612</v>
      </c>
      <c r="F59" s="430"/>
      <c r="G59" s="431">
        <v>406.0</v>
      </c>
      <c r="H59" s="393"/>
      <c r="I59" s="463" t="s">
        <v>612</v>
      </c>
      <c r="J59" s="393"/>
      <c r="K59" s="431" t="s">
        <v>638</v>
      </c>
      <c r="L59" s="393"/>
    </row>
    <row r="60">
      <c r="A60" s="432" t="s">
        <v>615</v>
      </c>
      <c r="C60" s="433"/>
      <c r="D60" s="434"/>
      <c r="E60" s="432" t="s">
        <v>615</v>
      </c>
      <c r="G60" s="433"/>
      <c r="H60" s="434"/>
      <c r="I60" s="463" t="s">
        <v>615</v>
      </c>
      <c r="J60" s="393"/>
      <c r="K60" s="431"/>
      <c r="L60" s="393"/>
    </row>
    <row r="61">
      <c r="A61" s="432" t="s">
        <v>617</v>
      </c>
      <c r="C61" s="433"/>
      <c r="D61" s="434"/>
      <c r="E61" s="432" t="s">
        <v>617</v>
      </c>
      <c r="G61" s="433"/>
      <c r="H61" s="434"/>
      <c r="I61" s="463" t="s">
        <v>617</v>
      </c>
      <c r="J61" s="393"/>
      <c r="K61" s="431">
        <v>200.0</v>
      </c>
      <c r="L61" s="393"/>
    </row>
    <row r="62">
      <c r="A62" s="432" t="s">
        <v>618</v>
      </c>
      <c r="C62" s="433"/>
      <c r="D62" s="434"/>
      <c r="E62" s="432" t="s">
        <v>618</v>
      </c>
      <c r="G62" s="433"/>
      <c r="H62" s="434"/>
      <c r="I62" s="463" t="s">
        <v>618</v>
      </c>
      <c r="J62" s="393"/>
      <c r="K62" s="431" t="s">
        <v>639</v>
      </c>
      <c r="L62" s="393"/>
    </row>
    <row r="63">
      <c r="A63" s="432"/>
      <c r="B63" s="432" t="s">
        <v>621</v>
      </c>
      <c r="C63" s="433"/>
      <c r="D63" s="434"/>
      <c r="E63" s="432"/>
      <c r="F63" s="432" t="s">
        <v>637</v>
      </c>
      <c r="G63" s="433"/>
      <c r="H63" s="434"/>
      <c r="I63" s="464"/>
      <c r="J63" s="464" t="s">
        <v>637</v>
      </c>
      <c r="K63" s="431"/>
      <c r="L63" s="393"/>
    </row>
    <row r="64">
      <c r="A64" s="436" t="s">
        <v>622</v>
      </c>
      <c r="B64" s="427"/>
      <c r="C64" s="437"/>
      <c r="D64" s="438"/>
      <c r="E64" s="436" t="s">
        <v>622</v>
      </c>
      <c r="F64" s="427"/>
      <c r="G64" s="437"/>
      <c r="H64" s="438"/>
      <c r="I64" s="463" t="s">
        <v>622</v>
      </c>
      <c r="J64" s="393"/>
      <c r="K64" s="431"/>
      <c r="L64" s="393"/>
    </row>
    <row r="65">
      <c r="A65" s="439" t="s">
        <v>623</v>
      </c>
      <c r="B65" s="226"/>
      <c r="C65" s="226"/>
      <c r="D65" s="440"/>
      <c r="E65" s="439" t="s">
        <v>623</v>
      </c>
      <c r="F65" s="226"/>
      <c r="G65" s="226"/>
      <c r="H65" s="440"/>
      <c r="I65" s="439" t="s">
        <v>623</v>
      </c>
      <c r="J65" s="226"/>
      <c r="K65" s="226"/>
      <c r="L65" s="440"/>
    </row>
    <row r="66">
      <c r="A66" s="441" t="s">
        <v>24</v>
      </c>
      <c r="B66" s="442" t="s">
        <v>624</v>
      </c>
      <c r="C66" s="442" t="s">
        <v>25</v>
      </c>
      <c r="D66" s="443" t="s">
        <v>625</v>
      </c>
      <c r="E66" s="441" t="s">
        <v>24</v>
      </c>
      <c r="F66" s="442" t="s">
        <v>624</v>
      </c>
      <c r="G66" s="442" t="s">
        <v>25</v>
      </c>
      <c r="H66" s="443" t="s">
        <v>625</v>
      </c>
      <c r="I66" s="465" t="s">
        <v>24</v>
      </c>
      <c r="J66" s="466" t="s">
        <v>624</v>
      </c>
      <c r="K66" s="466" t="s">
        <v>25</v>
      </c>
      <c r="L66" s="467" t="s">
        <v>625</v>
      </c>
    </row>
    <row r="67">
      <c r="A67" s="444"/>
      <c r="B67" s="450" t="s">
        <v>640</v>
      </c>
      <c r="C67" s="450">
        <v>250.0</v>
      </c>
      <c r="D67" s="447"/>
      <c r="E67" s="444"/>
      <c r="F67" s="450" t="s">
        <v>641</v>
      </c>
      <c r="G67" s="450">
        <v>100.0</v>
      </c>
      <c r="H67" s="447"/>
      <c r="I67" s="444"/>
      <c r="J67" s="450"/>
      <c r="K67" s="450"/>
      <c r="L67" s="447"/>
    </row>
    <row r="68">
      <c r="A68" s="444"/>
      <c r="B68" s="450"/>
      <c r="C68" s="450"/>
      <c r="D68" s="447"/>
      <c r="E68" s="444"/>
      <c r="F68" s="450" t="s">
        <v>628</v>
      </c>
      <c r="G68" s="450">
        <v>350.0</v>
      </c>
      <c r="H68" s="447"/>
      <c r="I68" s="444"/>
      <c r="J68" s="450"/>
      <c r="K68" s="450"/>
      <c r="L68" s="447"/>
    </row>
    <row r="69">
      <c r="A69" s="444"/>
      <c r="B69" s="450"/>
      <c r="C69" s="450"/>
      <c r="D69" s="447"/>
      <c r="E69" s="444"/>
      <c r="F69" s="448" t="s">
        <v>642</v>
      </c>
      <c r="G69" s="448">
        <v>20.0</v>
      </c>
      <c r="H69" s="447"/>
      <c r="I69" s="444"/>
      <c r="J69" s="450"/>
      <c r="K69" s="450"/>
      <c r="L69" s="447"/>
    </row>
    <row r="70">
      <c r="A70" s="444"/>
      <c r="B70" s="450"/>
      <c r="C70" s="450"/>
      <c r="D70" s="447"/>
      <c r="E70" s="444"/>
      <c r="F70" s="450"/>
      <c r="G70" s="450"/>
      <c r="H70" s="447"/>
      <c r="I70" s="444"/>
      <c r="J70" s="450"/>
      <c r="K70" s="450"/>
      <c r="L70" s="447"/>
    </row>
    <row r="71">
      <c r="A71" s="444"/>
      <c r="B71" s="450"/>
      <c r="C71" s="450"/>
      <c r="D71" s="447"/>
      <c r="E71" s="444"/>
      <c r="F71" s="450"/>
      <c r="G71" s="450"/>
      <c r="H71" s="447"/>
      <c r="I71" s="444"/>
      <c r="J71" s="450"/>
      <c r="K71" s="450"/>
      <c r="L71" s="447"/>
    </row>
    <row r="72">
      <c r="A72" s="444"/>
      <c r="B72" s="450"/>
      <c r="C72" s="450"/>
      <c r="D72" s="447"/>
      <c r="E72" s="444"/>
      <c r="F72" s="450"/>
      <c r="G72" s="450"/>
      <c r="H72" s="447"/>
      <c r="I72" s="444"/>
      <c r="J72" s="450"/>
      <c r="K72" s="450"/>
      <c r="L72" s="447"/>
    </row>
    <row r="73">
      <c r="A73" s="444"/>
      <c r="B73" s="450"/>
      <c r="C73" s="450"/>
      <c r="D73" s="447"/>
      <c r="E73" s="444"/>
      <c r="F73" s="450"/>
      <c r="G73" s="450"/>
      <c r="H73" s="447"/>
      <c r="I73" s="444"/>
      <c r="J73" s="450"/>
      <c r="K73" s="450"/>
      <c r="L73" s="447"/>
    </row>
    <row r="74">
      <c r="A74" s="444"/>
      <c r="B74" s="450"/>
      <c r="C74" s="450"/>
      <c r="D74" s="447"/>
      <c r="E74" s="444"/>
      <c r="F74" s="450"/>
      <c r="G74" s="450"/>
      <c r="H74" s="447"/>
      <c r="I74" s="444"/>
      <c r="J74" s="450"/>
      <c r="K74" s="450"/>
      <c r="L74" s="447"/>
    </row>
    <row r="75">
      <c r="A75" s="444"/>
      <c r="B75" s="450"/>
      <c r="C75" s="450"/>
      <c r="D75" s="447"/>
      <c r="E75" s="444"/>
      <c r="F75" s="450"/>
      <c r="G75" s="450"/>
      <c r="H75" s="447"/>
      <c r="I75" s="444"/>
      <c r="J75" s="450"/>
      <c r="K75" s="450"/>
      <c r="L75" s="447"/>
    </row>
    <row r="76">
      <c r="A76" s="444"/>
      <c r="B76" s="450"/>
      <c r="C76" s="450"/>
      <c r="D76" s="447"/>
      <c r="E76" s="444"/>
      <c r="F76" s="450"/>
      <c r="G76" s="450"/>
      <c r="H76" s="447"/>
      <c r="I76" s="444"/>
      <c r="J76" s="450"/>
      <c r="K76" s="450"/>
      <c r="L76" s="447"/>
    </row>
    <row r="77">
      <c r="A77" s="444"/>
      <c r="B77" s="450"/>
      <c r="C77" s="450"/>
      <c r="D77" s="447"/>
      <c r="E77" s="444"/>
      <c r="F77" s="450"/>
      <c r="G77" s="450"/>
      <c r="H77" s="447"/>
      <c r="I77" s="444"/>
      <c r="J77" s="450"/>
      <c r="K77" s="450"/>
      <c r="L77" s="447"/>
    </row>
    <row r="78">
      <c r="A78" s="444"/>
      <c r="B78" s="450"/>
      <c r="C78" s="450"/>
      <c r="D78" s="447"/>
      <c r="E78" s="444"/>
      <c r="F78" s="450"/>
      <c r="G78" s="450"/>
      <c r="H78" s="447"/>
      <c r="I78" s="444"/>
      <c r="J78" s="450"/>
      <c r="K78" s="450"/>
      <c r="L78" s="447"/>
    </row>
    <row r="79">
      <c r="A79" s="444"/>
      <c r="B79" s="450"/>
      <c r="C79" s="450"/>
      <c r="D79" s="447"/>
      <c r="E79" s="444"/>
      <c r="F79" s="450"/>
      <c r="G79" s="450"/>
      <c r="H79" s="447"/>
      <c r="I79" s="444"/>
      <c r="J79" s="450"/>
      <c r="K79" s="450"/>
      <c r="L79" s="447"/>
    </row>
    <row r="80">
      <c r="A80" s="444"/>
      <c r="B80" s="450"/>
      <c r="C80" s="450"/>
      <c r="D80" s="447"/>
      <c r="E80" s="444"/>
      <c r="F80" s="450"/>
      <c r="G80" s="450"/>
      <c r="H80" s="447"/>
      <c r="I80" s="444"/>
      <c r="J80" s="450"/>
      <c r="K80" s="450"/>
      <c r="L80" s="447"/>
    </row>
    <row r="81">
      <c r="A81" s="444"/>
      <c r="B81" s="450"/>
      <c r="C81" s="450"/>
      <c r="D81" s="447"/>
      <c r="E81" s="444"/>
      <c r="F81" s="450"/>
      <c r="G81" s="450"/>
      <c r="H81" s="447"/>
      <c r="I81" s="444"/>
      <c r="J81" s="450"/>
      <c r="K81" s="450"/>
      <c r="L81" s="447"/>
    </row>
    <row r="82">
      <c r="A82" s="444"/>
      <c r="B82" s="450"/>
      <c r="C82" s="450"/>
      <c r="D82" s="447"/>
      <c r="E82" s="444"/>
      <c r="F82" s="450"/>
      <c r="G82" s="450"/>
      <c r="H82" s="447"/>
      <c r="I82" s="444"/>
      <c r="J82" s="450"/>
      <c r="K82" s="450"/>
      <c r="L82" s="447"/>
    </row>
    <row r="83">
      <c r="A83" s="444"/>
      <c r="B83" s="450"/>
      <c r="C83" s="450"/>
      <c r="D83" s="447"/>
      <c r="E83" s="444"/>
      <c r="F83" s="450"/>
      <c r="G83" s="450"/>
      <c r="H83" s="447"/>
      <c r="I83" s="444"/>
      <c r="J83" s="450"/>
      <c r="K83" s="450"/>
      <c r="L83" s="447"/>
    </row>
    <row r="84">
      <c r="A84" s="444"/>
      <c r="B84" s="450"/>
      <c r="C84" s="450"/>
      <c r="D84" s="447"/>
      <c r="E84" s="444"/>
      <c r="F84" s="450"/>
      <c r="G84" s="450"/>
      <c r="H84" s="447"/>
      <c r="I84" s="444"/>
      <c r="J84" s="450"/>
      <c r="K84" s="450"/>
      <c r="L84" s="447"/>
    </row>
    <row r="85">
      <c r="A85" s="444"/>
      <c r="B85" s="450"/>
      <c r="C85" s="450"/>
      <c r="D85" s="447"/>
      <c r="E85" s="444"/>
      <c r="F85" s="450"/>
      <c r="G85" s="450"/>
      <c r="H85" s="447"/>
      <c r="I85" s="444"/>
      <c r="J85" s="450"/>
      <c r="K85" s="450"/>
      <c r="L85" s="447"/>
    </row>
    <row r="86">
      <c r="A86" s="456"/>
      <c r="B86" s="457"/>
      <c r="C86" s="454" t="s">
        <v>636</v>
      </c>
      <c r="D86" s="455">
        <f>C61-(SUM(C67:C85))</f>
        <v>-250</v>
      </c>
      <c r="E86" s="452"/>
      <c r="F86" s="453"/>
      <c r="G86" s="454" t="s">
        <v>636</v>
      </c>
      <c r="H86" s="455">
        <f>G61-(SUM(G67:G85))</f>
        <v>-470</v>
      </c>
      <c r="I86" s="452"/>
      <c r="J86" s="453"/>
      <c r="K86" s="454" t="s">
        <v>636</v>
      </c>
      <c r="L86" s="455">
        <f>K61-(SUM(K67:K85))</f>
        <v>200</v>
      </c>
    </row>
    <row r="87">
      <c r="A87" s="429" t="s">
        <v>612</v>
      </c>
      <c r="B87" s="430"/>
      <c r="C87" s="458" t="s">
        <v>151</v>
      </c>
      <c r="D87" s="393"/>
      <c r="E87" s="432" t="s">
        <v>612</v>
      </c>
      <c r="G87" s="468"/>
      <c r="I87" s="429" t="s">
        <v>612</v>
      </c>
      <c r="J87" s="430"/>
      <c r="K87" s="431" t="s">
        <v>643</v>
      </c>
      <c r="L87" s="393"/>
    </row>
    <row r="88">
      <c r="A88" s="432" t="s">
        <v>615</v>
      </c>
      <c r="C88" s="433"/>
      <c r="D88" s="434"/>
      <c r="E88" s="432" t="s">
        <v>615</v>
      </c>
      <c r="G88" s="468"/>
      <c r="I88" s="432" t="s">
        <v>615</v>
      </c>
      <c r="K88" s="433"/>
      <c r="L88" s="434"/>
    </row>
    <row r="89">
      <c r="A89" s="432" t="s">
        <v>617</v>
      </c>
      <c r="C89" s="435">
        <v>900.0</v>
      </c>
      <c r="D89" s="434"/>
      <c r="E89" s="432" t="s">
        <v>617</v>
      </c>
      <c r="G89" s="468"/>
      <c r="I89" s="432" t="s">
        <v>617</v>
      </c>
      <c r="K89" s="433">
        <v>2350.0</v>
      </c>
      <c r="L89" s="434"/>
    </row>
    <row r="90">
      <c r="A90" s="432" t="s">
        <v>618</v>
      </c>
      <c r="C90" s="433"/>
      <c r="D90" s="434"/>
      <c r="E90" s="432" t="s">
        <v>618</v>
      </c>
      <c r="G90" s="468"/>
      <c r="I90" s="432" t="s">
        <v>618</v>
      </c>
      <c r="K90" s="433"/>
      <c r="L90" s="434"/>
    </row>
    <row r="91">
      <c r="A91" s="436" t="s">
        <v>622</v>
      </c>
      <c r="B91" s="427"/>
      <c r="C91" s="437"/>
      <c r="D91" s="438"/>
      <c r="E91" s="432" t="s">
        <v>622</v>
      </c>
      <c r="G91" s="468"/>
      <c r="I91" s="436" t="s">
        <v>622</v>
      </c>
      <c r="J91" s="427"/>
      <c r="K91" s="437"/>
      <c r="L91" s="438"/>
    </row>
    <row r="92">
      <c r="A92" s="439" t="s">
        <v>623</v>
      </c>
      <c r="B92" s="226"/>
      <c r="C92" s="226"/>
      <c r="D92" s="440"/>
      <c r="E92" s="439" t="s">
        <v>623</v>
      </c>
      <c r="F92" s="226"/>
      <c r="G92" s="226"/>
      <c r="H92" s="440"/>
      <c r="I92" s="439" t="s">
        <v>623</v>
      </c>
      <c r="J92" s="226"/>
      <c r="K92" s="226"/>
      <c r="L92" s="440"/>
    </row>
    <row r="93">
      <c r="A93" s="441" t="s">
        <v>24</v>
      </c>
      <c r="B93" s="442" t="s">
        <v>624</v>
      </c>
      <c r="C93" s="442" t="s">
        <v>25</v>
      </c>
      <c r="D93" s="443" t="s">
        <v>625</v>
      </c>
      <c r="E93" s="441" t="s">
        <v>24</v>
      </c>
      <c r="F93" s="442" t="s">
        <v>624</v>
      </c>
      <c r="G93" s="442" t="s">
        <v>25</v>
      </c>
      <c r="H93" s="443" t="s">
        <v>625</v>
      </c>
      <c r="I93" s="441" t="s">
        <v>24</v>
      </c>
      <c r="J93" s="442" t="s">
        <v>624</v>
      </c>
      <c r="K93" s="442" t="s">
        <v>25</v>
      </c>
      <c r="L93" s="443" t="s">
        <v>625</v>
      </c>
    </row>
    <row r="94">
      <c r="A94" s="469"/>
      <c r="B94" s="448" t="s">
        <v>98</v>
      </c>
      <c r="C94" s="448">
        <v>1380.0</v>
      </c>
      <c r="D94" s="447"/>
      <c r="E94" s="470"/>
      <c r="F94" s="450"/>
      <c r="G94" s="450"/>
      <c r="H94" s="447"/>
      <c r="I94" s="444"/>
      <c r="J94" s="450" t="s">
        <v>98</v>
      </c>
      <c r="K94" s="450">
        <v>2343.0</v>
      </c>
      <c r="L94" s="447"/>
    </row>
    <row r="95">
      <c r="A95" s="444"/>
      <c r="B95" s="448" t="s">
        <v>644</v>
      </c>
      <c r="C95" s="448">
        <v>60.0</v>
      </c>
      <c r="D95" s="447"/>
      <c r="E95" s="444"/>
      <c r="F95" s="450"/>
      <c r="G95" s="450"/>
      <c r="H95" s="447"/>
      <c r="I95" s="444"/>
      <c r="J95" s="450" t="s">
        <v>628</v>
      </c>
      <c r="K95" s="450">
        <v>650.0</v>
      </c>
      <c r="L95" s="447"/>
    </row>
    <row r="96">
      <c r="A96" s="444"/>
      <c r="B96" s="448" t="s">
        <v>628</v>
      </c>
      <c r="C96" s="448">
        <v>250.0</v>
      </c>
      <c r="D96" s="447"/>
      <c r="E96" s="444"/>
      <c r="F96" s="450"/>
      <c r="G96" s="450"/>
      <c r="H96" s="447"/>
      <c r="I96" s="444"/>
      <c r="J96" s="450"/>
      <c r="K96" s="450"/>
      <c r="L96" s="447"/>
    </row>
    <row r="97">
      <c r="A97" s="444"/>
      <c r="B97" s="450"/>
      <c r="C97" s="450"/>
      <c r="D97" s="447"/>
      <c r="E97" s="444"/>
      <c r="F97" s="450"/>
      <c r="G97" s="450"/>
      <c r="H97" s="447"/>
      <c r="I97" s="444"/>
      <c r="J97" s="450"/>
      <c r="K97" s="450"/>
      <c r="L97" s="447"/>
    </row>
    <row r="98">
      <c r="A98" s="444"/>
      <c r="B98" s="450"/>
      <c r="C98" s="450"/>
      <c r="D98" s="447"/>
      <c r="E98" s="444"/>
      <c r="F98" s="450"/>
      <c r="G98" s="450"/>
      <c r="H98" s="447"/>
      <c r="I98" s="444"/>
      <c r="J98" s="450"/>
      <c r="K98" s="450"/>
      <c r="L98" s="447"/>
    </row>
    <row r="99">
      <c r="A99" s="444"/>
      <c r="B99" s="450"/>
      <c r="C99" s="450"/>
      <c r="D99" s="447"/>
      <c r="E99" s="444"/>
      <c r="F99" s="450"/>
      <c r="G99" s="450"/>
      <c r="H99" s="447"/>
      <c r="I99" s="444"/>
      <c r="J99" s="450"/>
      <c r="K99" s="450"/>
      <c r="L99" s="447"/>
    </row>
    <row r="100">
      <c r="A100" s="444"/>
      <c r="B100" s="450"/>
      <c r="C100" s="450"/>
      <c r="D100" s="447"/>
      <c r="E100" s="444"/>
      <c r="F100" s="450"/>
      <c r="G100" s="450"/>
      <c r="H100" s="447"/>
      <c r="I100" s="444"/>
      <c r="J100" s="450"/>
      <c r="K100" s="450"/>
      <c r="L100" s="447"/>
    </row>
    <row r="101">
      <c r="A101" s="444"/>
      <c r="B101" s="450"/>
      <c r="C101" s="450"/>
      <c r="D101" s="447"/>
      <c r="E101" s="444"/>
      <c r="F101" s="450"/>
      <c r="G101" s="450"/>
      <c r="H101" s="447"/>
      <c r="I101" s="444"/>
      <c r="J101" s="450"/>
      <c r="K101" s="450"/>
      <c r="L101" s="447"/>
    </row>
    <row r="102">
      <c r="A102" s="444"/>
      <c r="B102" s="450"/>
      <c r="C102" s="450"/>
      <c r="D102" s="447"/>
      <c r="E102" s="444"/>
      <c r="F102" s="450"/>
      <c r="G102" s="450"/>
      <c r="H102" s="447"/>
      <c r="I102" s="444"/>
      <c r="J102" s="450"/>
      <c r="K102" s="450"/>
      <c r="L102" s="447"/>
    </row>
    <row r="103">
      <c r="A103" s="444"/>
      <c r="B103" s="450"/>
      <c r="C103" s="450"/>
      <c r="D103" s="447"/>
      <c r="E103" s="444"/>
      <c r="F103" s="450"/>
      <c r="G103" s="450"/>
      <c r="H103" s="447"/>
      <c r="I103" s="444"/>
      <c r="J103" s="450"/>
      <c r="K103" s="450"/>
      <c r="L103" s="447"/>
    </row>
    <row r="104">
      <c r="A104" s="444"/>
      <c r="B104" s="450"/>
      <c r="C104" s="450"/>
      <c r="D104" s="447"/>
      <c r="E104" s="444"/>
      <c r="F104" s="450"/>
      <c r="G104" s="450"/>
      <c r="H104" s="447"/>
      <c r="I104" s="444"/>
      <c r="J104" s="450"/>
      <c r="K104" s="450"/>
      <c r="L104" s="447"/>
    </row>
    <row r="105">
      <c r="A105" s="444"/>
      <c r="B105" s="450"/>
      <c r="C105" s="450"/>
      <c r="D105" s="447"/>
      <c r="E105" s="444"/>
      <c r="F105" s="450"/>
      <c r="G105" s="450"/>
      <c r="H105" s="447"/>
      <c r="I105" s="444"/>
      <c r="J105" s="450"/>
      <c r="K105" s="450"/>
      <c r="L105" s="447"/>
    </row>
    <row r="106">
      <c r="A106" s="444"/>
      <c r="B106" s="450"/>
      <c r="C106" s="450"/>
      <c r="D106" s="447"/>
      <c r="E106" s="444"/>
      <c r="F106" s="450"/>
      <c r="G106" s="450"/>
      <c r="H106" s="447"/>
      <c r="I106" s="444"/>
      <c r="J106" s="450"/>
      <c r="K106" s="450"/>
      <c r="L106" s="447"/>
    </row>
    <row r="107">
      <c r="A107" s="444"/>
      <c r="B107" s="450"/>
      <c r="C107" s="450"/>
      <c r="D107" s="447"/>
      <c r="E107" s="444"/>
      <c r="F107" s="450"/>
      <c r="G107" s="450"/>
      <c r="H107" s="447"/>
      <c r="I107" s="444"/>
      <c r="J107" s="450"/>
      <c r="K107" s="450"/>
      <c r="L107" s="447"/>
    </row>
    <row r="108">
      <c r="A108" s="444"/>
      <c r="B108" s="450"/>
      <c r="C108" s="450"/>
      <c r="D108" s="447"/>
      <c r="E108" s="444"/>
      <c r="F108" s="450"/>
      <c r="G108" s="450"/>
      <c r="H108" s="447"/>
      <c r="I108" s="444"/>
      <c r="J108" s="450"/>
      <c r="K108" s="450"/>
      <c r="L108" s="447"/>
    </row>
    <row r="109">
      <c r="A109" s="444"/>
      <c r="B109" s="450"/>
      <c r="C109" s="450"/>
      <c r="D109" s="447"/>
      <c r="E109" s="444"/>
      <c r="F109" s="450"/>
      <c r="G109" s="450"/>
      <c r="H109" s="447"/>
      <c r="I109" s="444"/>
      <c r="J109" s="450"/>
      <c r="K109" s="450"/>
      <c r="L109" s="447"/>
    </row>
    <row r="110">
      <c r="A110" s="444"/>
      <c r="B110" s="450"/>
      <c r="C110" s="450"/>
      <c r="D110" s="447"/>
      <c r="E110" s="444"/>
      <c r="F110" s="450"/>
      <c r="G110" s="450"/>
      <c r="H110" s="447"/>
      <c r="I110" s="444"/>
      <c r="J110" s="450"/>
      <c r="K110" s="450"/>
      <c r="L110" s="447"/>
    </row>
    <row r="111">
      <c r="A111" s="444"/>
      <c r="B111" s="450"/>
      <c r="C111" s="450"/>
      <c r="D111" s="447"/>
      <c r="E111" s="444"/>
      <c r="F111" s="450"/>
      <c r="G111" s="450"/>
      <c r="H111" s="447"/>
      <c r="I111" s="444"/>
      <c r="J111" s="450"/>
      <c r="K111" s="450"/>
      <c r="L111" s="447"/>
    </row>
    <row r="112">
      <c r="A112" s="444"/>
      <c r="B112" s="450"/>
      <c r="C112" s="450"/>
      <c r="D112" s="447"/>
      <c r="E112" s="444"/>
      <c r="F112" s="450"/>
      <c r="G112" s="450"/>
      <c r="H112" s="447"/>
      <c r="I112" s="444"/>
      <c r="J112" s="450"/>
      <c r="K112" s="450"/>
      <c r="L112" s="447"/>
    </row>
    <row r="113">
      <c r="A113" s="456"/>
      <c r="B113" s="457"/>
      <c r="C113" s="454" t="s">
        <v>636</v>
      </c>
      <c r="D113" s="455">
        <f>C88-(SUM(C94:C112))</f>
        <v>-1690</v>
      </c>
      <c r="E113" s="456"/>
      <c r="F113" s="457"/>
      <c r="G113" s="454" t="s">
        <v>636</v>
      </c>
      <c r="H113" s="455">
        <f>G89-(SUM(G94:G112))</f>
        <v>0</v>
      </c>
      <c r="I113" s="456"/>
      <c r="J113" s="457"/>
      <c r="K113" s="454" t="s">
        <v>636</v>
      </c>
      <c r="L113" s="455">
        <f>K89-(SUM(K94:K112))</f>
        <v>-643</v>
      </c>
    </row>
    <row r="114">
      <c r="A114" s="429" t="s">
        <v>612</v>
      </c>
      <c r="B114" s="430"/>
      <c r="C114" s="431"/>
      <c r="D114" s="393"/>
      <c r="E114" s="429" t="s">
        <v>645</v>
      </c>
      <c r="F114" s="430"/>
      <c r="G114" s="431" t="s">
        <v>524</v>
      </c>
      <c r="H114" s="393"/>
      <c r="I114" s="429" t="s">
        <v>612</v>
      </c>
      <c r="J114" s="430"/>
      <c r="K114" s="431" t="s">
        <v>198</v>
      </c>
      <c r="L114" s="393"/>
    </row>
    <row r="115">
      <c r="A115" s="432" t="s">
        <v>615</v>
      </c>
      <c r="C115" s="433"/>
      <c r="D115" s="434"/>
      <c r="E115" s="432" t="s">
        <v>615</v>
      </c>
      <c r="G115" s="433" t="s">
        <v>646</v>
      </c>
      <c r="H115" s="434"/>
      <c r="I115" s="432" t="s">
        <v>615</v>
      </c>
      <c r="K115" s="433" t="s">
        <v>647</v>
      </c>
      <c r="L115" s="434"/>
    </row>
    <row r="116">
      <c r="A116" s="432" t="s">
        <v>617</v>
      </c>
      <c r="C116" s="433"/>
      <c r="D116" s="434"/>
      <c r="E116" s="432" t="s">
        <v>617</v>
      </c>
      <c r="G116" s="433">
        <v>700.0</v>
      </c>
      <c r="H116" s="434"/>
      <c r="I116" s="432" t="s">
        <v>617</v>
      </c>
      <c r="K116" s="433">
        <v>450.0</v>
      </c>
      <c r="L116" s="434"/>
    </row>
    <row r="117">
      <c r="A117" s="432" t="s">
        <v>618</v>
      </c>
      <c r="C117" s="433"/>
      <c r="D117" s="434"/>
      <c r="E117" s="432" t="s">
        <v>618</v>
      </c>
      <c r="G117" s="433" t="s">
        <v>648</v>
      </c>
      <c r="H117" s="434"/>
      <c r="I117" s="432" t="s">
        <v>618</v>
      </c>
      <c r="K117" s="433" t="s">
        <v>649</v>
      </c>
      <c r="L117" s="434"/>
    </row>
    <row r="118">
      <c r="A118" s="436" t="s">
        <v>622</v>
      </c>
      <c r="B118" s="427"/>
      <c r="C118" s="437"/>
      <c r="D118" s="438"/>
      <c r="E118" s="436" t="s">
        <v>622</v>
      </c>
      <c r="F118" s="427"/>
      <c r="G118" s="437" t="s">
        <v>650</v>
      </c>
      <c r="H118" s="438"/>
      <c r="I118" s="436" t="s">
        <v>622</v>
      </c>
      <c r="J118" s="427"/>
      <c r="K118" s="437">
        <v>2.4522238E7</v>
      </c>
      <c r="L118" s="438"/>
    </row>
    <row r="119">
      <c r="A119" s="439" t="s">
        <v>623</v>
      </c>
      <c r="B119" s="226"/>
      <c r="C119" s="226"/>
      <c r="D119" s="440"/>
      <c r="E119" s="439" t="s">
        <v>623</v>
      </c>
      <c r="F119" s="226"/>
      <c r="G119" s="226"/>
      <c r="H119" s="440"/>
      <c r="I119" s="439" t="s">
        <v>623</v>
      </c>
      <c r="J119" s="226"/>
      <c r="K119" s="226"/>
      <c r="L119" s="440"/>
    </row>
    <row r="120">
      <c r="A120" s="441" t="s">
        <v>24</v>
      </c>
      <c r="B120" s="442" t="s">
        <v>624</v>
      </c>
      <c r="C120" s="442" t="s">
        <v>25</v>
      </c>
      <c r="D120" s="443" t="s">
        <v>625</v>
      </c>
      <c r="E120" s="441" t="s">
        <v>24</v>
      </c>
      <c r="F120" s="442" t="s">
        <v>624</v>
      </c>
      <c r="G120" s="442" t="s">
        <v>25</v>
      </c>
      <c r="H120" s="443" t="s">
        <v>625</v>
      </c>
      <c r="I120" s="441" t="s">
        <v>24</v>
      </c>
      <c r="J120" s="442" t="s">
        <v>624</v>
      </c>
      <c r="K120" s="442" t="s">
        <v>25</v>
      </c>
      <c r="L120" s="443" t="s">
        <v>625</v>
      </c>
    </row>
    <row r="121">
      <c r="A121" s="469"/>
      <c r="B121" s="450"/>
      <c r="C121" s="450"/>
      <c r="D121" s="447"/>
      <c r="E121" s="469"/>
      <c r="F121" s="448" t="s">
        <v>651</v>
      </c>
      <c r="G121" s="448">
        <v>160.0</v>
      </c>
      <c r="H121" s="447"/>
      <c r="I121" s="444"/>
      <c r="J121" s="450" t="s">
        <v>652</v>
      </c>
      <c r="K121" s="450">
        <v>337.0</v>
      </c>
      <c r="L121" s="447"/>
    </row>
    <row r="122">
      <c r="A122" s="444"/>
      <c r="B122" s="450"/>
      <c r="C122" s="450"/>
      <c r="D122" s="447"/>
      <c r="E122" s="444"/>
      <c r="F122" s="448" t="s">
        <v>653</v>
      </c>
      <c r="G122" s="448">
        <v>70.0</v>
      </c>
      <c r="H122" s="447"/>
      <c r="I122" s="444"/>
      <c r="J122" s="450" t="s">
        <v>628</v>
      </c>
      <c r="K122" s="450">
        <v>150.0</v>
      </c>
      <c r="L122" s="447"/>
    </row>
    <row r="123">
      <c r="A123" s="444"/>
      <c r="B123" s="450"/>
      <c r="C123" s="450"/>
      <c r="D123" s="447"/>
      <c r="E123" s="444"/>
      <c r="F123" s="448" t="s">
        <v>654</v>
      </c>
      <c r="G123" s="448">
        <v>90.0</v>
      </c>
      <c r="H123" s="471" t="s">
        <v>655</v>
      </c>
      <c r="I123" s="444"/>
      <c r="J123" s="450"/>
      <c r="K123" s="450"/>
      <c r="L123" s="447"/>
    </row>
    <row r="124">
      <c r="A124" s="444"/>
      <c r="B124" s="450"/>
      <c r="C124" s="448"/>
      <c r="D124" s="471"/>
      <c r="E124" s="444"/>
      <c r="F124" s="450"/>
      <c r="G124" s="450"/>
      <c r="H124" s="447"/>
      <c r="I124" s="444"/>
      <c r="J124" s="450"/>
      <c r="K124" s="450"/>
      <c r="L124" s="447"/>
    </row>
    <row r="125">
      <c r="A125" s="444"/>
      <c r="B125" s="448"/>
      <c r="C125" s="448"/>
      <c r="D125" s="472"/>
      <c r="E125" s="444"/>
      <c r="F125" s="450"/>
      <c r="G125" s="450"/>
      <c r="H125" s="447"/>
      <c r="I125" s="444"/>
      <c r="J125" s="450"/>
      <c r="K125" s="450"/>
      <c r="L125" s="447"/>
    </row>
    <row r="126">
      <c r="A126" s="444"/>
      <c r="B126" s="448"/>
      <c r="C126" s="448"/>
      <c r="D126" s="447"/>
      <c r="E126" s="444"/>
      <c r="F126" s="450"/>
      <c r="G126" s="450"/>
      <c r="H126" s="447"/>
      <c r="I126" s="444"/>
      <c r="J126" s="450"/>
      <c r="K126" s="450"/>
      <c r="L126" s="447"/>
    </row>
    <row r="127">
      <c r="A127" s="444"/>
      <c r="B127" s="450"/>
      <c r="C127" s="450"/>
      <c r="D127" s="447"/>
      <c r="E127" s="444"/>
      <c r="F127" s="450"/>
      <c r="G127" s="450"/>
      <c r="H127" s="447"/>
      <c r="I127" s="444"/>
      <c r="J127" s="450"/>
      <c r="K127" s="450"/>
      <c r="L127" s="447"/>
    </row>
    <row r="128">
      <c r="A128" s="444"/>
      <c r="B128" s="450"/>
      <c r="C128" s="450"/>
      <c r="D128" s="447"/>
      <c r="E128" s="444"/>
      <c r="F128" s="450"/>
      <c r="G128" s="450"/>
      <c r="H128" s="447"/>
      <c r="I128" s="444"/>
      <c r="J128" s="450"/>
      <c r="K128" s="450"/>
      <c r="L128" s="447"/>
    </row>
    <row r="129">
      <c r="A129" s="444"/>
      <c r="B129" s="450"/>
      <c r="C129" s="450"/>
      <c r="D129" s="447"/>
      <c r="E129" s="444"/>
      <c r="F129" s="450"/>
      <c r="G129" s="450"/>
      <c r="H129" s="447"/>
      <c r="I129" s="444"/>
      <c r="J129" s="450"/>
      <c r="K129" s="450"/>
      <c r="L129" s="447"/>
    </row>
    <row r="130">
      <c r="A130" s="444"/>
      <c r="B130" s="450"/>
      <c r="C130" s="450"/>
      <c r="D130" s="447"/>
      <c r="E130" s="444"/>
      <c r="F130" s="450"/>
      <c r="G130" s="450"/>
      <c r="H130" s="447"/>
      <c r="I130" s="444"/>
      <c r="J130" s="450"/>
      <c r="K130" s="450"/>
      <c r="L130" s="447"/>
    </row>
    <row r="131">
      <c r="A131" s="444"/>
      <c r="B131" s="450"/>
      <c r="C131" s="450"/>
      <c r="D131" s="447"/>
      <c r="E131" s="444"/>
      <c r="F131" s="450"/>
      <c r="G131" s="450"/>
      <c r="H131" s="447"/>
      <c r="I131" s="444"/>
      <c r="J131" s="450"/>
      <c r="K131" s="450"/>
      <c r="L131" s="447"/>
    </row>
    <row r="132">
      <c r="A132" s="444"/>
      <c r="B132" s="450"/>
      <c r="C132" s="450"/>
      <c r="D132" s="447"/>
      <c r="E132" s="444"/>
      <c r="F132" s="450"/>
      <c r="G132" s="450"/>
      <c r="H132" s="447"/>
      <c r="I132" s="444"/>
      <c r="J132" s="450"/>
      <c r="K132" s="450"/>
      <c r="L132" s="447"/>
    </row>
    <row r="133">
      <c r="A133" s="444"/>
      <c r="B133" s="450"/>
      <c r="C133" s="450"/>
      <c r="D133" s="447"/>
      <c r="E133" s="444"/>
      <c r="F133" s="450"/>
      <c r="G133" s="450"/>
      <c r="H133" s="447"/>
      <c r="I133" s="444"/>
      <c r="J133" s="450"/>
      <c r="K133" s="450"/>
      <c r="L133" s="447"/>
    </row>
    <row r="134">
      <c r="A134" s="444"/>
      <c r="B134" s="450"/>
      <c r="C134" s="450"/>
      <c r="D134" s="447"/>
      <c r="E134" s="444"/>
      <c r="F134" s="450"/>
      <c r="G134" s="450"/>
      <c r="H134" s="447"/>
      <c r="I134" s="444"/>
      <c r="J134" s="450"/>
      <c r="K134" s="450"/>
      <c r="L134" s="447"/>
    </row>
    <row r="135">
      <c r="A135" s="444"/>
      <c r="B135" s="450"/>
      <c r="C135" s="450"/>
      <c r="D135" s="447"/>
      <c r="E135" s="444"/>
      <c r="F135" s="450"/>
      <c r="G135" s="450"/>
      <c r="H135" s="447"/>
      <c r="I135" s="444"/>
      <c r="J135" s="450"/>
      <c r="K135" s="450"/>
      <c r="L135" s="447"/>
    </row>
    <row r="136">
      <c r="A136" s="444"/>
      <c r="B136" s="450"/>
      <c r="C136" s="450"/>
      <c r="D136" s="447"/>
      <c r="E136" s="444"/>
      <c r="F136" s="450"/>
      <c r="G136" s="450"/>
      <c r="H136" s="447"/>
      <c r="I136" s="444"/>
      <c r="J136" s="450"/>
      <c r="K136" s="450"/>
      <c r="L136" s="447"/>
    </row>
    <row r="137">
      <c r="A137" s="444"/>
      <c r="B137" s="450"/>
      <c r="C137" s="450"/>
      <c r="D137" s="447"/>
      <c r="E137" s="444"/>
      <c r="F137" s="450"/>
      <c r="G137" s="450"/>
      <c r="H137" s="447"/>
      <c r="I137" s="444"/>
      <c r="J137" s="450"/>
      <c r="K137" s="450"/>
      <c r="L137" s="447"/>
    </row>
    <row r="138">
      <c r="A138" s="444"/>
      <c r="B138" s="450"/>
      <c r="C138" s="450"/>
      <c r="D138" s="447"/>
      <c r="E138" s="444"/>
      <c r="F138" s="450"/>
      <c r="G138" s="450"/>
      <c r="H138" s="447"/>
      <c r="I138" s="444"/>
      <c r="J138" s="450"/>
      <c r="K138" s="450"/>
      <c r="L138" s="447"/>
    </row>
    <row r="139">
      <c r="A139" s="444"/>
      <c r="B139" s="450"/>
      <c r="C139" s="450"/>
      <c r="D139" s="447"/>
      <c r="E139" s="444"/>
      <c r="F139" s="450"/>
      <c r="G139" s="450"/>
      <c r="H139" s="447"/>
      <c r="I139" s="444"/>
      <c r="J139" s="450"/>
      <c r="K139" s="450"/>
      <c r="L139" s="447"/>
    </row>
    <row r="140">
      <c r="A140" s="456"/>
      <c r="B140" s="457"/>
      <c r="C140" s="454" t="s">
        <v>636</v>
      </c>
      <c r="D140" s="455">
        <f>C116-(SUM(C121:C139))</f>
        <v>0</v>
      </c>
      <c r="E140" s="456"/>
      <c r="F140" s="457"/>
      <c r="G140" s="454" t="s">
        <v>636</v>
      </c>
      <c r="H140" s="455">
        <f>G116-(SUM(G121:G139))</f>
        <v>380</v>
      </c>
      <c r="I140" s="452"/>
      <c r="J140" s="453"/>
      <c r="K140" s="454" t="s">
        <v>636</v>
      </c>
      <c r="L140" s="455">
        <f>K116-(SUM(K121:K139))</f>
        <v>-37</v>
      </c>
    </row>
    <row r="141">
      <c r="A141" s="429" t="s">
        <v>612</v>
      </c>
      <c r="B141" s="430"/>
      <c r="C141" s="431"/>
      <c r="D141" s="393"/>
      <c r="E141" s="429" t="s">
        <v>612</v>
      </c>
      <c r="F141" s="430"/>
      <c r="G141" s="431"/>
      <c r="H141" s="393"/>
      <c r="I141" s="429" t="s">
        <v>612</v>
      </c>
      <c r="J141" s="430"/>
      <c r="K141" s="431"/>
      <c r="L141" s="393"/>
    </row>
    <row r="142">
      <c r="A142" s="432" t="s">
        <v>615</v>
      </c>
      <c r="C142" s="433"/>
      <c r="D142" s="434"/>
      <c r="E142" s="432" t="s">
        <v>615</v>
      </c>
      <c r="G142" s="433"/>
      <c r="H142" s="434"/>
      <c r="I142" s="432" t="s">
        <v>615</v>
      </c>
      <c r="K142" s="433"/>
      <c r="L142" s="434"/>
    </row>
    <row r="143">
      <c r="A143" s="432" t="s">
        <v>617</v>
      </c>
      <c r="C143" s="433"/>
      <c r="D143" s="434"/>
      <c r="E143" s="432" t="s">
        <v>617</v>
      </c>
      <c r="G143" s="433"/>
      <c r="H143" s="434"/>
      <c r="I143" s="432" t="s">
        <v>617</v>
      </c>
      <c r="K143" s="433"/>
      <c r="L143" s="434"/>
    </row>
    <row r="144">
      <c r="A144" s="432" t="s">
        <v>618</v>
      </c>
      <c r="C144" s="433"/>
      <c r="D144" s="434"/>
      <c r="E144" s="432" t="s">
        <v>618</v>
      </c>
      <c r="G144" s="433"/>
      <c r="H144" s="434"/>
      <c r="I144" s="432" t="s">
        <v>618</v>
      </c>
      <c r="K144" s="433"/>
      <c r="L144" s="434"/>
    </row>
    <row r="145">
      <c r="A145" s="436" t="s">
        <v>622</v>
      </c>
      <c r="B145" s="427"/>
      <c r="C145" s="437"/>
      <c r="D145" s="438"/>
      <c r="E145" s="436" t="s">
        <v>622</v>
      </c>
      <c r="F145" s="427"/>
      <c r="G145" s="437"/>
      <c r="H145" s="438"/>
      <c r="I145" s="436" t="s">
        <v>622</v>
      </c>
      <c r="J145" s="427"/>
      <c r="K145" s="437"/>
      <c r="L145" s="438"/>
    </row>
    <row r="146">
      <c r="A146" s="439" t="s">
        <v>623</v>
      </c>
      <c r="B146" s="226"/>
      <c r="C146" s="226"/>
      <c r="D146" s="440"/>
      <c r="E146" s="439" t="s">
        <v>623</v>
      </c>
      <c r="F146" s="226"/>
      <c r="G146" s="226"/>
      <c r="H146" s="440"/>
      <c r="I146" s="439" t="s">
        <v>623</v>
      </c>
      <c r="J146" s="226"/>
      <c r="K146" s="226"/>
      <c r="L146" s="440"/>
    </row>
    <row r="147">
      <c r="A147" s="441" t="s">
        <v>24</v>
      </c>
      <c r="B147" s="442" t="s">
        <v>624</v>
      </c>
      <c r="C147" s="442" t="s">
        <v>25</v>
      </c>
      <c r="D147" s="443" t="s">
        <v>625</v>
      </c>
      <c r="E147" s="441" t="s">
        <v>24</v>
      </c>
      <c r="F147" s="442" t="s">
        <v>624</v>
      </c>
      <c r="G147" s="442" t="s">
        <v>25</v>
      </c>
      <c r="H147" s="443" t="s">
        <v>625</v>
      </c>
      <c r="I147" s="441" t="s">
        <v>24</v>
      </c>
      <c r="J147" s="442" t="s">
        <v>624</v>
      </c>
      <c r="K147" s="442" t="s">
        <v>25</v>
      </c>
      <c r="L147" s="443" t="s">
        <v>625</v>
      </c>
    </row>
    <row r="148">
      <c r="A148" s="469"/>
      <c r="B148" s="450"/>
      <c r="C148" s="450"/>
      <c r="D148" s="447"/>
      <c r="E148" s="469"/>
      <c r="F148" s="450"/>
      <c r="G148" s="450"/>
      <c r="H148" s="447"/>
      <c r="I148" s="469"/>
      <c r="J148" s="450"/>
      <c r="K148" s="450"/>
      <c r="L148" s="447"/>
    </row>
    <row r="149">
      <c r="A149" s="444"/>
      <c r="B149" s="450"/>
      <c r="C149" s="450"/>
      <c r="D149" s="447"/>
      <c r="E149" s="444"/>
      <c r="F149" s="450"/>
      <c r="G149" s="450"/>
      <c r="H149" s="447"/>
      <c r="I149" s="444"/>
      <c r="J149" s="450"/>
      <c r="K149" s="450"/>
      <c r="L149" s="447"/>
    </row>
    <row r="150">
      <c r="A150" s="444"/>
      <c r="B150" s="450"/>
      <c r="C150" s="450"/>
      <c r="D150" s="447"/>
      <c r="E150" s="444"/>
      <c r="F150" s="450"/>
      <c r="G150" s="450"/>
      <c r="H150" s="447"/>
      <c r="I150" s="444"/>
      <c r="J150" s="450"/>
      <c r="K150" s="450"/>
      <c r="L150" s="447"/>
    </row>
    <row r="151">
      <c r="A151" s="444"/>
      <c r="B151" s="450"/>
      <c r="C151" s="450"/>
      <c r="D151" s="447"/>
      <c r="E151" s="444"/>
      <c r="F151" s="450"/>
      <c r="G151" s="450"/>
      <c r="H151" s="447"/>
      <c r="I151" s="444"/>
      <c r="J151" s="450"/>
      <c r="K151" s="450"/>
      <c r="L151" s="447"/>
    </row>
    <row r="152">
      <c r="A152" s="444"/>
      <c r="B152" s="450"/>
      <c r="C152" s="450"/>
      <c r="D152" s="447"/>
      <c r="E152" s="444"/>
      <c r="F152" s="450"/>
      <c r="G152" s="450"/>
      <c r="H152" s="447"/>
      <c r="I152" s="444"/>
      <c r="J152" s="450"/>
      <c r="K152" s="450"/>
      <c r="L152" s="447"/>
    </row>
    <row r="153">
      <c r="A153" s="444"/>
      <c r="B153" s="450"/>
      <c r="C153" s="450"/>
      <c r="D153" s="447"/>
      <c r="E153" s="444"/>
      <c r="F153" s="450"/>
      <c r="G153" s="450"/>
      <c r="H153" s="447"/>
      <c r="I153" s="444"/>
      <c r="J153" s="450"/>
      <c r="K153" s="450"/>
      <c r="L153" s="447"/>
    </row>
    <row r="154">
      <c r="A154" s="444"/>
      <c r="B154" s="450"/>
      <c r="C154" s="450"/>
      <c r="D154" s="447"/>
      <c r="E154" s="444"/>
      <c r="F154" s="450"/>
      <c r="G154" s="450"/>
      <c r="H154" s="447"/>
      <c r="I154" s="444"/>
      <c r="J154" s="450"/>
      <c r="K154" s="450"/>
      <c r="L154" s="447"/>
    </row>
    <row r="155">
      <c r="A155" s="444"/>
      <c r="B155" s="450"/>
      <c r="C155" s="450"/>
      <c r="D155" s="447"/>
      <c r="E155" s="444"/>
      <c r="F155" s="450"/>
      <c r="G155" s="450"/>
      <c r="H155" s="447"/>
      <c r="I155" s="444"/>
      <c r="J155" s="450"/>
      <c r="K155" s="450"/>
      <c r="L155" s="447"/>
    </row>
    <row r="156">
      <c r="A156" s="444"/>
      <c r="B156" s="450"/>
      <c r="C156" s="450"/>
      <c r="D156" s="447"/>
      <c r="E156" s="444"/>
      <c r="F156" s="450"/>
      <c r="G156" s="450"/>
      <c r="H156" s="447"/>
      <c r="I156" s="444"/>
      <c r="J156" s="450"/>
      <c r="K156" s="450"/>
      <c r="L156" s="447"/>
    </row>
    <row r="157">
      <c r="A157" s="444"/>
      <c r="B157" s="450"/>
      <c r="C157" s="450"/>
      <c r="D157" s="447"/>
      <c r="E157" s="444"/>
      <c r="F157" s="450"/>
      <c r="G157" s="450"/>
      <c r="H157" s="447"/>
      <c r="I157" s="444"/>
      <c r="J157" s="450"/>
      <c r="K157" s="450"/>
      <c r="L157" s="447"/>
    </row>
    <row r="158">
      <c r="A158" s="444"/>
      <c r="B158" s="450"/>
      <c r="C158" s="450"/>
      <c r="D158" s="447"/>
      <c r="E158" s="444"/>
      <c r="F158" s="450"/>
      <c r="G158" s="450"/>
      <c r="H158" s="447"/>
      <c r="I158" s="444"/>
      <c r="J158" s="450"/>
      <c r="K158" s="450"/>
      <c r="L158" s="447"/>
    </row>
    <row r="159">
      <c r="A159" s="444"/>
      <c r="B159" s="450"/>
      <c r="C159" s="450"/>
      <c r="D159" s="447"/>
      <c r="E159" s="444"/>
      <c r="F159" s="450"/>
      <c r="G159" s="450"/>
      <c r="H159" s="447"/>
      <c r="I159" s="444"/>
      <c r="J159" s="450"/>
      <c r="K159" s="450"/>
      <c r="L159" s="447"/>
    </row>
    <row r="160">
      <c r="A160" s="444"/>
      <c r="B160" s="450"/>
      <c r="C160" s="450"/>
      <c r="D160" s="447"/>
      <c r="E160" s="444"/>
      <c r="F160" s="450"/>
      <c r="G160" s="450"/>
      <c r="H160" s="447"/>
      <c r="I160" s="444"/>
      <c r="J160" s="450"/>
      <c r="K160" s="450"/>
      <c r="L160" s="447"/>
    </row>
    <row r="161">
      <c r="A161" s="444"/>
      <c r="B161" s="450"/>
      <c r="C161" s="450"/>
      <c r="D161" s="447"/>
      <c r="E161" s="444"/>
      <c r="F161" s="450"/>
      <c r="G161" s="450"/>
      <c r="H161" s="447"/>
      <c r="I161" s="444"/>
      <c r="J161" s="450"/>
      <c r="K161" s="450"/>
      <c r="L161" s="447"/>
    </row>
    <row r="162">
      <c r="A162" s="444"/>
      <c r="B162" s="450"/>
      <c r="C162" s="450"/>
      <c r="D162" s="447"/>
      <c r="E162" s="444"/>
      <c r="F162" s="450"/>
      <c r="G162" s="450"/>
      <c r="H162" s="447"/>
      <c r="I162" s="444"/>
      <c r="J162" s="450"/>
      <c r="K162" s="450"/>
      <c r="L162" s="447"/>
    </row>
    <row r="163">
      <c r="A163" s="444"/>
      <c r="B163" s="450"/>
      <c r="C163" s="450"/>
      <c r="D163" s="447"/>
      <c r="E163" s="444"/>
      <c r="F163" s="450"/>
      <c r="G163" s="450"/>
      <c r="H163" s="447"/>
      <c r="I163" s="444"/>
      <c r="J163" s="450"/>
      <c r="K163" s="450"/>
      <c r="L163" s="447"/>
    </row>
    <row r="164">
      <c r="A164" s="444"/>
      <c r="B164" s="450"/>
      <c r="C164" s="450"/>
      <c r="D164" s="447"/>
      <c r="E164" s="444"/>
      <c r="F164" s="450"/>
      <c r="G164" s="450"/>
      <c r="H164" s="447"/>
      <c r="I164" s="444"/>
      <c r="J164" s="450"/>
      <c r="K164" s="450"/>
      <c r="L164" s="447"/>
    </row>
    <row r="165">
      <c r="A165" s="444"/>
      <c r="B165" s="450"/>
      <c r="C165" s="450"/>
      <c r="D165" s="447"/>
      <c r="E165" s="444"/>
      <c r="F165" s="450"/>
      <c r="G165" s="450"/>
      <c r="H165" s="447"/>
      <c r="I165" s="444"/>
      <c r="J165" s="450"/>
      <c r="K165" s="450"/>
      <c r="L165" s="447"/>
    </row>
    <row r="166">
      <c r="A166" s="444"/>
      <c r="B166" s="450"/>
      <c r="C166" s="450"/>
      <c r="D166" s="447"/>
      <c r="E166" s="444"/>
      <c r="F166" s="450"/>
      <c r="G166" s="450"/>
      <c r="H166" s="447"/>
      <c r="I166" s="444"/>
      <c r="J166" s="450"/>
      <c r="K166" s="450"/>
      <c r="L166" s="447"/>
    </row>
    <row r="167">
      <c r="A167" s="456"/>
      <c r="B167" s="457"/>
      <c r="C167" s="454" t="s">
        <v>636</v>
      </c>
      <c r="D167" s="455">
        <f>C143-(SUM(C148:C166))</f>
        <v>0</v>
      </c>
      <c r="E167" s="456"/>
      <c r="F167" s="457"/>
      <c r="G167" s="454" t="s">
        <v>636</v>
      </c>
      <c r="H167" s="455">
        <f>G143-(SUM(G148:G166))</f>
        <v>0</v>
      </c>
      <c r="I167" s="456"/>
      <c r="J167" s="457"/>
      <c r="K167" s="454" t="s">
        <v>636</v>
      </c>
      <c r="L167" s="455">
        <f>K143-(SUM(K148:K166))</f>
        <v>0</v>
      </c>
    </row>
    <row r="168">
      <c r="A168" s="429" t="s">
        <v>612</v>
      </c>
      <c r="B168" s="430"/>
      <c r="C168" s="431"/>
      <c r="D168" s="393"/>
      <c r="E168" s="429" t="s">
        <v>612</v>
      </c>
      <c r="F168" s="430"/>
      <c r="G168" s="431"/>
      <c r="H168" s="393"/>
      <c r="I168" s="429" t="s">
        <v>612</v>
      </c>
      <c r="J168" s="430"/>
      <c r="K168" s="431"/>
      <c r="L168" s="393"/>
    </row>
    <row r="169">
      <c r="A169" s="432" t="s">
        <v>615</v>
      </c>
      <c r="C169" s="433"/>
      <c r="D169" s="434"/>
      <c r="E169" s="432" t="s">
        <v>615</v>
      </c>
      <c r="G169" s="433"/>
      <c r="H169" s="434"/>
      <c r="I169" s="432" t="s">
        <v>615</v>
      </c>
      <c r="K169" s="433"/>
      <c r="L169" s="434"/>
    </row>
    <row r="170">
      <c r="A170" s="432" t="s">
        <v>617</v>
      </c>
      <c r="C170" s="433"/>
      <c r="D170" s="434"/>
      <c r="E170" s="432" t="s">
        <v>617</v>
      </c>
      <c r="G170" s="433"/>
      <c r="H170" s="434"/>
      <c r="I170" s="432" t="s">
        <v>617</v>
      </c>
      <c r="K170" s="433"/>
      <c r="L170" s="434"/>
    </row>
    <row r="171">
      <c r="A171" s="432" t="s">
        <v>618</v>
      </c>
      <c r="C171" s="433"/>
      <c r="D171" s="434"/>
      <c r="E171" s="432" t="s">
        <v>618</v>
      </c>
      <c r="G171" s="433"/>
      <c r="H171" s="434"/>
      <c r="I171" s="432" t="s">
        <v>618</v>
      </c>
      <c r="K171" s="433"/>
      <c r="L171" s="434"/>
    </row>
    <row r="172">
      <c r="A172" s="436" t="s">
        <v>622</v>
      </c>
      <c r="B172" s="427"/>
      <c r="C172" s="437"/>
      <c r="D172" s="438"/>
      <c r="E172" s="436" t="s">
        <v>622</v>
      </c>
      <c r="F172" s="427"/>
      <c r="G172" s="437"/>
      <c r="H172" s="438"/>
      <c r="I172" s="436" t="s">
        <v>622</v>
      </c>
      <c r="J172" s="427"/>
      <c r="K172" s="437"/>
      <c r="L172" s="438"/>
    </row>
    <row r="173">
      <c r="A173" s="439" t="s">
        <v>623</v>
      </c>
      <c r="B173" s="226"/>
      <c r="C173" s="226"/>
      <c r="D173" s="440"/>
      <c r="E173" s="439" t="s">
        <v>623</v>
      </c>
      <c r="F173" s="226"/>
      <c r="G173" s="226"/>
      <c r="H173" s="440"/>
      <c r="I173" s="439" t="s">
        <v>623</v>
      </c>
      <c r="J173" s="226"/>
      <c r="K173" s="226"/>
      <c r="L173" s="440"/>
    </row>
    <row r="174">
      <c r="A174" s="441" t="s">
        <v>24</v>
      </c>
      <c r="B174" s="442" t="s">
        <v>624</v>
      </c>
      <c r="C174" s="442" t="s">
        <v>25</v>
      </c>
      <c r="D174" s="443" t="s">
        <v>625</v>
      </c>
      <c r="E174" s="441" t="s">
        <v>24</v>
      </c>
      <c r="F174" s="442" t="s">
        <v>624</v>
      </c>
      <c r="G174" s="442" t="s">
        <v>25</v>
      </c>
      <c r="H174" s="443" t="s">
        <v>625</v>
      </c>
      <c r="I174" s="441" t="s">
        <v>24</v>
      </c>
      <c r="J174" s="442" t="s">
        <v>624</v>
      </c>
      <c r="K174" s="442" t="s">
        <v>25</v>
      </c>
      <c r="L174" s="443" t="s">
        <v>625</v>
      </c>
    </row>
    <row r="175">
      <c r="A175" s="469"/>
      <c r="B175" s="450"/>
      <c r="C175" s="450"/>
      <c r="D175" s="447"/>
      <c r="E175" s="469"/>
      <c r="F175" s="450"/>
      <c r="G175" s="450"/>
      <c r="H175" s="447"/>
      <c r="I175" s="469"/>
      <c r="J175" s="450"/>
      <c r="K175" s="450"/>
      <c r="L175" s="447"/>
    </row>
    <row r="176">
      <c r="A176" s="444"/>
      <c r="B176" s="450"/>
      <c r="C176" s="450"/>
      <c r="D176" s="447"/>
      <c r="E176" s="444"/>
      <c r="F176" s="450"/>
      <c r="G176" s="450"/>
      <c r="H176" s="447"/>
      <c r="I176" s="444"/>
      <c r="J176" s="450"/>
      <c r="K176" s="450"/>
      <c r="L176" s="447"/>
    </row>
    <row r="177">
      <c r="A177" s="444"/>
      <c r="B177" s="450"/>
      <c r="C177" s="450"/>
      <c r="D177" s="447"/>
      <c r="E177" s="444"/>
      <c r="F177" s="450"/>
      <c r="G177" s="450"/>
      <c r="H177" s="447"/>
      <c r="I177" s="444"/>
      <c r="J177" s="450"/>
      <c r="K177" s="450"/>
      <c r="L177" s="447"/>
    </row>
    <row r="178">
      <c r="A178" s="444"/>
      <c r="B178" s="450"/>
      <c r="C178" s="450"/>
      <c r="D178" s="447"/>
      <c r="E178" s="444"/>
      <c r="F178" s="450"/>
      <c r="G178" s="450"/>
      <c r="H178" s="447"/>
      <c r="I178" s="444"/>
      <c r="J178" s="450"/>
      <c r="K178" s="450"/>
      <c r="L178" s="447"/>
    </row>
    <row r="179">
      <c r="A179" s="444"/>
      <c r="B179" s="450"/>
      <c r="C179" s="450"/>
      <c r="D179" s="447"/>
      <c r="E179" s="444"/>
      <c r="F179" s="450"/>
      <c r="G179" s="450"/>
      <c r="H179" s="447"/>
      <c r="I179" s="444"/>
      <c r="J179" s="450"/>
      <c r="K179" s="450"/>
      <c r="L179" s="447"/>
    </row>
    <row r="180">
      <c r="A180" s="444"/>
      <c r="B180" s="450"/>
      <c r="C180" s="450"/>
      <c r="D180" s="447"/>
      <c r="E180" s="444"/>
      <c r="F180" s="450"/>
      <c r="G180" s="450"/>
      <c r="H180" s="447"/>
      <c r="I180" s="444"/>
      <c r="J180" s="450"/>
      <c r="K180" s="450"/>
      <c r="L180" s="447"/>
    </row>
    <row r="181">
      <c r="A181" s="444"/>
      <c r="B181" s="450"/>
      <c r="C181" s="450"/>
      <c r="D181" s="447"/>
      <c r="E181" s="444"/>
      <c r="F181" s="450"/>
      <c r="G181" s="450"/>
      <c r="H181" s="447"/>
      <c r="I181" s="444"/>
      <c r="J181" s="450"/>
      <c r="K181" s="450"/>
      <c r="L181" s="447"/>
    </row>
    <row r="182">
      <c r="A182" s="444"/>
      <c r="B182" s="450"/>
      <c r="C182" s="450"/>
      <c r="D182" s="447"/>
      <c r="E182" s="444"/>
      <c r="F182" s="450"/>
      <c r="G182" s="450"/>
      <c r="H182" s="447"/>
      <c r="I182" s="444"/>
      <c r="J182" s="450"/>
      <c r="K182" s="450"/>
      <c r="L182" s="447"/>
    </row>
    <row r="183">
      <c r="A183" s="444"/>
      <c r="B183" s="450"/>
      <c r="C183" s="450"/>
      <c r="D183" s="447"/>
      <c r="E183" s="444"/>
      <c r="F183" s="450"/>
      <c r="G183" s="450"/>
      <c r="H183" s="447"/>
      <c r="I183" s="444"/>
      <c r="J183" s="450"/>
      <c r="K183" s="450"/>
      <c r="L183" s="447"/>
    </row>
    <row r="184">
      <c r="A184" s="444"/>
      <c r="B184" s="450"/>
      <c r="C184" s="450"/>
      <c r="D184" s="447"/>
      <c r="E184" s="444"/>
      <c r="F184" s="450"/>
      <c r="G184" s="450"/>
      <c r="H184" s="447"/>
      <c r="I184" s="444"/>
      <c r="J184" s="450"/>
      <c r="K184" s="450"/>
      <c r="L184" s="447"/>
    </row>
    <row r="185">
      <c r="A185" s="444"/>
      <c r="B185" s="450"/>
      <c r="C185" s="450"/>
      <c r="D185" s="447"/>
      <c r="E185" s="444"/>
      <c r="F185" s="450"/>
      <c r="G185" s="450"/>
      <c r="H185" s="447"/>
      <c r="I185" s="444"/>
      <c r="J185" s="450"/>
      <c r="K185" s="450"/>
      <c r="L185" s="447"/>
    </row>
    <row r="186">
      <c r="A186" s="444"/>
      <c r="B186" s="450"/>
      <c r="C186" s="450"/>
      <c r="D186" s="447"/>
      <c r="E186" s="444"/>
      <c r="F186" s="450"/>
      <c r="G186" s="450"/>
      <c r="H186" s="447"/>
      <c r="I186" s="444"/>
      <c r="J186" s="450"/>
      <c r="K186" s="450"/>
      <c r="L186" s="447"/>
    </row>
    <row r="187">
      <c r="A187" s="444"/>
      <c r="B187" s="450"/>
      <c r="C187" s="450"/>
      <c r="D187" s="447"/>
      <c r="E187" s="444"/>
      <c r="F187" s="450"/>
      <c r="G187" s="450"/>
      <c r="H187" s="447"/>
      <c r="I187" s="444"/>
      <c r="J187" s="450"/>
      <c r="K187" s="450"/>
      <c r="L187" s="447"/>
    </row>
    <row r="188">
      <c r="A188" s="444"/>
      <c r="B188" s="450"/>
      <c r="C188" s="450"/>
      <c r="D188" s="447"/>
      <c r="E188" s="444"/>
      <c r="F188" s="450"/>
      <c r="G188" s="450"/>
      <c r="H188" s="447"/>
      <c r="I188" s="444"/>
      <c r="J188" s="450"/>
      <c r="K188" s="450"/>
      <c r="L188" s="447"/>
    </row>
    <row r="189">
      <c r="A189" s="444"/>
      <c r="B189" s="450"/>
      <c r="C189" s="450"/>
      <c r="D189" s="447"/>
      <c r="E189" s="444"/>
      <c r="F189" s="450"/>
      <c r="G189" s="450"/>
      <c r="H189" s="447"/>
      <c r="I189" s="444"/>
      <c r="J189" s="450"/>
      <c r="K189" s="450"/>
      <c r="L189" s="447"/>
    </row>
    <row r="190">
      <c r="A190" s="444"/>
      <c r="B190" s="450"/>
      <c r="C190" s="450"/>
      <c r="D190" s="447"/>
      <c r="E190" s="444"/>
      <c r="F190" s="450"/>
      <c r="G190" s="450"/>
      <c r="H190" s="447"/>
      <c r="I190" s="444"/>
      <c r="J190" s="450"/>
      <c r="K190" s="450"/>
      <c r="L190" s="447"/>
    </row>
    <row r="191">
      <c r="A191" s="444"/>
      <c r="B191" s="450"/>
      <c r="C191" s="450"/>
      <c r="D191" s="447"/>
      <c r="E191" s="444"/>
      <c r="F191" s="450"/>
      <c r="G191" s="450"/>
      <c r="H191" s="447"/>
      <c r="I191" s="444"/>
      <c r="J191" s="450"/>
      <c r="K191" s="450"/>
      <c r="L191" s="447"/>
    </row>
    <row r="192">
      <c r="A192" s="444"/>
      <c r="B192" s="450"/>
      <c r="C192" s="450"/>
      <c r="D192" s="447"/>
      <c r="E192" s="444"/>
      <c r="F192" s="450"/>
      <c r="G192" s="450"/>
      <c r="H192" s="447"/>
      <c r="I192" s="444"/>
      <c r="J192" s="450"/>
      <c r="K192" s="450"/>
      <c r="L192" s="447"/>
    </row>
    <row r="193">
      <c r="A193" s="444"/>
      <c r="B193" s="450"/>
      <c r="C193" s="450"/>
      <c r="D193" s="447"/>
      <c r="E193" s="444"/>
      <c r="F193" s="450"/>
      <c r="G193" s="450"/>
      <c r="H193" s="447"/>
      <c r="I193" s="444"/>
      <c r="J193" s="450"/>
      <c r="K193" s="450"/>
      <c r="L193" s="447"/>
    </row>
    <row r="194">
      <c r="A194" s="456"/>
      <c r="B194" s="457"/>
      <c r="C194" s="454" t="s">
        <v>636</v>
      </c>
      <c r="D194" s="455">
        <f>C170-(SUM(C175:C193))</f>
        <v>0</v>
      </c>
      <c r="E194" s="456"/>
      <c r="F194" s="457"/>
      <c r="G194" s="454" t="s">
        <v>636</v>
      </c>
      <c r="H194" s="455">
        <f>G170-(SUM(G175:G193))</f>
        <v>0</v>
      </c>
      <c r="I194" s="456"/>
      <c r="J194" s="457"/>
      <c r="K194" s="454" t="s">
        <v>636</v>
      </c>
      <c r="L194" s="455">
        <f>K170-(SUM(K175:K193))</f>
        <v>0</v>
      </c>
    </row>
    <row r="195">
      <c r="A195" s="389"/>
      <c r="B195" s="389"/>
      <c r="C195" s="389"/>
      <c r="D195" s="389"/>
      <c r="E195" s="389"/>
      <c r="F195" s="389"/>
      <c r="G195" s="389"/>
      <c r="H195" s="389"/>
      <c r="I195" s="389"/>
      <c r="J195" s="389"/>
      <c r="K195" s="389"/>
      <c r="L195" s="389"/>
    </row>
    <row r="196">
      <c r="A196" s="389"/>
      <c r="B196" s="389"/>
      <c r="C196" s="389"/>
      <c r="D196" s="389"/>
      <c r="E196" s="389"/>
      <c r="F196" s="389"/>
      <c r="G196" s="389"/>
      <c r="H196" s="389"/>
      <c r="I196" s="389"/>
      <c r="J196" s="389"/>
      <c r="K196" s="389"/>
      <c r="L196" s="389"/>
    </row>
  </sheetData>
  <mergeCells count="245">
    <mergeCell ref="G34:H34"/>
    <mergeCell ref="G35:H35"/>
    <mergeCell ref="A36:B36"/>
    <mergeCell ref="E36:F36"/>
    <mergeCell ref="G36:H36"/>
    <mergeCell ref="I36:J36"/>
    <mergeCell ref="K36:L36"/>
    <mergeCell ref="C36:D36"/>
    <mergeCell ref="A37:D37"/>
    <mergeCell ref="E37:H37"/>
    <mergeCell ref="I37:L37"/>
    <mergeCell ref="A59:B59"/>
    <mergeCell ref="C59:D59"/>
    <mergeCell ref="E59:F59"/>
    <mergeCell ref="K59:L59"/>
    <mergeCell ref="A1:L2"/>
    <mergeCell ref="A3:B3"/>
    <mergeCell ref="C3:D3"/>
    <mergeCell ref="E3:F3"/>
    <mergeCell ref="G3:H3"/>
    <mergeCell ref="I3:J3"/>
    <mergeCell ref="K3:L3"/>
    <mergeCell ref="G5:H5"/>
    <mergeCell ref="I5:J5"/>
    <mergeCell ref="G6:H6"/>
    <mergeCell ref="I6:J6"/>
    <mergeCell ref="K6:L6"/>
    <mergeCell ref="G7:H7"/>
    <mergeCell ref="I7:J7"/>
    <mergeCell ref="K7:L7"/>
    <mergeCell ref="A4:B4"/>
    <mergeCell ref="C4:D4"/>
    <mergeCell ref="E4:F4"/>
    <mergeCell ref="G4:H4"/>
    <mergeCell ref="I4:J4"/>
    <mergeCell ref="K4:L4"/>
    <mergeCell ref="A5:B5"/>
    <mergeCell ref="K5:L5"/>
    <mergeCell ref="A7:B7"/>
    <mergeCell ref="A8:B8"/>
    <mergeCell ref="C8:D8"/>
    <mergeCell ref="E8:F8"/>
    <mergeCell ref="G8:H8"/>
    <mergeCell ref="I8:J8"/>
    <mergeCell ref="K8:L8"/>
    <mergeCell ref="A9:D9"/>
    <mergeCell ref="E9:H9"/>
    <mergeCell ref="I9:L9"/>
    <mergeCell ref="C5:D5"/>
    <mergeCell ref="E5:F5"/>
    <mergeCell ref="A6:B6"/>
    <mergeCell ref="C6:D6"/>
    <mergeCell ref="E6:F6"/>
    <mergeCell ref="C7:D7"/>
    <mergeCell ref="E7:F7"/>
    <mergeCell ref="E92:H92"/>
    <mergeCell ref="I92:L92"/>
    <mergeCell ref="A91:B91"/>
    <mergeCell ref="C91:D91"/>
    <mergeCell ref="E91:F91"/>
    <mergeCell ref="G91:H91"/>
    <mergeCell ref="I91:J91"/>
    <mergeCell ref="K91:L91"/>
    <mergeCell ref="A92:D92"/>
    <mergeCell ref="C118:D118"/>
    <mergeCell ref="A119:D119"/>
    <mergeCell ref="E119:H119"/>
    <mergeCell ref="C116:D116"/>
    <mergeCell ref="E116:F116"/>
    <mergeCell ref="A117:B117"/>
    <mergeCell ref="C117:D117"/>
    <mergeCell ref="E117:F117"/>
    <mergeCell ref="A118:B118"/>
    <mergeCell ref="E118:F118"/>
    <mergeCell ref="A89:B89"/>
    <mergeCell ref="A90:B90"/>
    <mergeCell ref="C90:D90"/>
    <mergeCell ref="E90:F90"/>
    <mergeCell ref="G90:H90"/>
    <mergeCell ref="I90:J90"/>
    <mergeCell ref="K90:L90"/>
    <mergeCell ref="C88:D88"/>
    <mergeCell ref="E88:F88"/>
    <mergeCell ref="E89:F89"/>
    <mergeCell ref="G89:H89"/>
    <mergeCell ref="I89:J89"/>
    <mergeCell ref="K89:L89"/>
    <mergeCell ref="N94:O101"/>
    <mergeCell ref="C89:D89"/>
    <mergeCell ref="A114:B114"/>
    <mergeCell ref="C114:D114"/>
    <mergeCell ref="E114:F114"/>
    <mergeCell ref="G114:H114"/>
    <mergeCell ref="I114:J114"/>
    <mergeCell ref="K114:L114"/>
    <mergeCell ref="A115:B115"/>
    <mergeCell ref="C115:D115"/>
    <mergeCell ref="E115:F115"/>
    <mergeCell ref="G115:H115"/>
    <mergeCell ref="I115:J115"/>
    <mergeCell ref="K115:L115"/>
    <mergeCell ref="A116:B116"/>
    <mergeCell ref="K116:L116"/>
    <mergeCell ref="K118:L118"/>
    <mergeCell ref="I119:L119"/>
    <mergeCell ref="G116:H116"/>
    <mergeCell ref="I116:J116"/>
    <mergeCell ref="G117:H117"/>
    <mergeCell ref="I117:J117"/>
    <mergeCell ref="K117:L117"/>
    <mergeCell ref="G118:H118"/>
    <mergeCell ref="I118:J118"/>
    <mergeCell ref="C142:D142"/>
    <mergeCell ref="E142:F142"/>
    <mergeCell ref="K142:L142"/>
    <mergeCell ref="G32:H32"/>
    <mergeCell ref="I32:J32"/>
    <mergeCell ref="A31:B31"/>
    <mergeCell ref="C31:D31"/>
    <mergeCell ref="E31:F31"/>
    <mergeCell ref="G31:H31"/>
    <mergeCell ref="I31:J31"/>
    <mergeCell ref="K31:L31"/>
    <mergeCell ref="A32:B32"/>
    <mergeCell ref="K32:L32"/>
    <mergeCell ref="C32:D32"/>
    <mergeCell ref="E32:F32"/>
    <mergeCell ref="C33:D33"/>
    <mergeCell ref="E33:F33"/>
    <mergeCell ref="G33:H33"/>
    <mergeCell ref="I33:J33"/>
    <mergeCell ref="K33:L33"/>
    <mergeCell ref="A33:B33"/>
    <mergeCell ref="A34:B34"/>
    <mergeCell ref="C34:D34"/>
    <mergeCell ref="E34:F34"/>
    <mergeCell ref="I34:J34"/>
    <mergeCell ref="K34:L34"/>
    <mergeCell ref="C35:D35"/>
    <mergeCell ref="K35:L35"/>
    <mergeCell ref="G59:H59"/>
    <mergeCell ref="I59:J59"/>
    <mergeCell ref="C60:D60"/>
    <mergeCell ref="E60:F60"/>
    <mergeCell ref="G60:H60"/>
    <mergeCell ref="I60:J60"/>
    <mergeCell ref="K60:L60"/>
    <mergeCell ref="A60:B60"/>
    <mergeCell ref="A61:B61"/>
    <mergeCell ref="C61:D61"/>
    <mergeCell ref="E61:F61"/>
    <mergeCell ref="G61:H61"/>
    <mergeCell ref="I61:J61"/>
    <mergeCell ref="K61:L61"/>
    <mergeCell ref="K62:L62"/>
    <mergeCell ref="K63:L63"/>
    <mergeCell ref="A62:B62"/>
    <mergeCell ref="C62:D62"/>
    <mergeCell ref="E62:F62"/>
    <mergeCell ref="G62:H62"/>
    <mergeCell ref="I62:J62"/>
    <mergeCell ref="C63:D63"/>
    <mergeCell ref="G63:H63"/>
    <mergeCell ref="E65:H65"/>
    <mergeCell ref="I65:L65"/>
    <mergeCell ref="A64:B64"/>
    <mergeCell ref="C64:D64"/>
    <mergeCell ref="E64:F64"/>
    <mergeCell ref="G64:H64"/>
    <mergeCell ref="I64:J64"/>
    <mergeCell ref="K64:L64"/>
    <mergeCell ref="A65:D65"/>
    <mergeCell ref="G88:H88"/>
    <mergeCell ref="I88:J88"/>
    <mergeCell ref="A87:B87"/>
    <mergeCell ref="C87:D87"/>
    <mergeCell ref="E87:F87"/>
    <mergeCell ref="G87:H87"/>
    <mergeCell ref="I87:J87"/>
    <mergeCell ref="K87:L87"/>
    <mergeCell ref="A88:B88"/>
    <mergeCell ref="K88:L88"/>
    <mergeCell ref="G169:H169"/>
    <mergeCell ref="I169:J169"/>
    <mergeCell ref="G170:H170"/>
    <mergeCell ref="I170:J170"/>
    <mergeCell ref="K170:L170"/>
    <mergeCell ref="G171:H171"/>
    <mergeCell ref="I171:J171"/>
    <mergeCell ref="K171:L171"/>
    <mergeCell ref="C169:D169"/>
    <mergeCell ref="E169:F169"/>
    <mergeCell ref="A170:B170"/>
    <mergeCell ref="C170:D170"/>
    <mergeCell ref="E170:F170"/>
    <mergeCell ref="C171:D171"/>
    <mergeCell ref="E171:F171"/>
    <mergeCell ref="G142:H142"/>
    <mergeCell ref="I142:J142"/>
    <mergeCell ref="A141:B141"/>
    <mergeCell ref="C141:D141"/>
    <mergeCell ref="E141:F141"/>
    <mergeCell ref="G141:H141"/>
    <mergeCell ref="I141:J141"/>
    <mergeCell ref="K141:L141"/>
    <mergeCell ref="A142:B142"/>
    <mergeCell ref="G144:H144"/>
    <mergeCell ref="I144:J144"/>
    <mergeCell ref="G145:H145"/>
    <mergeCell ref="I145:J145"/>
    <mergeCell ref="K145:L145"/>
    <mergeCell ref="I146:L146"/>
    <mergeCell ref="A143:B143"/>
    <mergeCell ref="C143:D143"/>
    <mergeCell ref="E143:F143"/>
    <mergeCell ref="G143:H143"/>
    <mergeCell ref="I143:J143"/>
    <mergeCell ref="K143:L143"/>
    <mergeCell ref="A144:B144"/>
    <mergeCell ref="K144:L144"/>
    <mergeCell ref="C144:D144"/>
    <mergeCell ref="E144:F144"/>
    <mergeCell ref="A145:B145"/>
    <mergeCell ref="C145:D145"/>
    <mergeCell ref="E145:F145"/>
    <mergeCell ref="A146:D146"/>
    <mergeCell ref="E146:H146"/>
    <mergeCell ref="A168:B168"/>
    <mergeCell ref="C168:D168"/>
    <mergeCell ref="E168:F168"/>
    <mergeCell ref="G168:H168"/>
    <mergeCell ref="I168:J168"/>
    <mergeCell ref="K168:L168"/>
    <mergeCell ref="A169:B169"/>
    <mergeCell ref="K169:L169"/>
    <mergeCell ref="A173:D173"/>
    <mergeCell ref="E173:H173"/>
    <mergeCell ref="I173:L173"/>
    <mergeCell ref="A171:B171"/>
    <mergeCell ref="A172:B172"/>
    <mergeCell ref="C172:D172"/>
    <mergeCell ref="E172:F172"/>
    <mergeCell ref="G172:H172"/>
    <mergeCell ref="I172:J172"/>
    <mergeCell ref="K172:L17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0" width="28.71"/>
  </cols>
  <sheetData>
    <row r="1" ht="32.25" customHeight="1">
      <c r="A1" s="473" t="s">
        <v>656</v>
      </c>
      <c r="B1" s="9"/>
      <c r="C1" s="9"/>
      <c r="D1" s="9"/>
      <c r="E1" s="9"/>
      <c r="F1" s="9"/>
      <c r="G1" s="9"/>
      <c r="H1" s="9"/>
      <c r="I1" s="9"/>
      <c r="J1" s="10"/>
    </row>
    <row r="2" ht="27.75" customHeight="1">
      <c r="A2" s="17"/>
      <c r="B2" s="18"/>
      <c r="C2" s="18"/>
      <c r="D2" s="18"/>
      <c r="E2" s="18"/>
      <c r="F2" s="18"/>
      <c r="G2" s="18"/>
      <c r="H2" s="18"/>
      <c r="I2" s="18"/>
      <c r="J2" s="19"/>
    </row>
    <row r="3" ht="45.0" customHeight="1">
      <c r="A3" s="474" t="s">
        <v>657</v>
      </c>
      <c r="B3" s="147"/>
      <c r="C3" s="474" t="s">
        <v>658</v>
      </c>
      <c r="D3" s="147"/>
      <c r="E3" s="474" t="s">
        <v>393</v>
      </c>
      <c r="F3" s="147"/>
      <c r="G3" s="474" t="s">
        <v>659</v>
      </c>
      <c r="H3" s="147"/>
      <c r="I3" s="474" t="s">
        <v>27</v>
      </c>
      <c r="J3" s="147"/>
    </row>
    <row r="4" ht="45.0" customHeight="1">
      <c r="A4" s="475" t="s">
        <v>660</v>
      </c>
      <c r="B4" s="147"/>
      <c r="C4" s="475" t="s">
        <v>661</v>
      </c>
      <c r="D4" s="147"/>
      <c r="E4" s="475" t="s">
        <v>98</v>
      </c>
      <c r="F4" s="147"/>
      <c r="G4" s="475">
        <v>130.0</v>
      </c>
      <c r="H4" s="147"/>
      <c r="I4" s="476"/>
      <c r="J4" s="147"/>
    </row>
    <row r="5" ht="45.0" customHeight="1">
      <c r="A5" s="475" t="s">
        <v>662</v>
      </c>
      <c r="B5" s="147"/>
      <c r="C5" s="475" t="s">
        <v>663</v>
      </c>
      <c r="D5" s="147"/>
      <c r="E5" s="475" t="s">
        <v>628</v>
      </c>
      <c r="F5" s="147"/>
      <c r="G5" s="475">
        <v>200.0</v>
      </c>
      <c r="H5" s="147"/>
      <c r="I5" s="476"/>
      <c r="J5" s="147"/>
    </row>
    <row r="6" ht="45.0" customHeight="1">
      <c r="A6" s="475" t="s">
        <v>664</v>
      </c>
      <c r="B6" s="147"/>
      <c r="C6" s="475" t="s">
        <v>665</v>
      </c>
      <c r="D6" s="147"/>
      <c r="E6" s="475" t="s">
        <v>628</v>
      </c>
      <c r="F6" s="147"/>
      <c r="G6" s="477">
        <v>2600.0</v>
      </c>
      <c r="H6" s="147"/>
      <c r="I6" s="476"/>
      <c r="J6" s="147"/>
    </row>
    <row r="7" ht="45.0" customHeight="1">
      <c r="A7" s="477" t="s">
        <v>620</v>
      </c>
      <c r="B7" s="147"/>
      <c r="C7" s="477" t="s">
        <v>614</v>
      </c>
      <c r="D7" s="147"/>
      <c r="E7" s="477" t="s">
        <v>666</v>
      </c>
      <c r="F7" s="147"/>
      <c r="G7" s="477">
        <v>985.0</v>
      </c>
      <c r="H7" s="147"/>
      <c r="I7" s="476"/>
      <c r="J7" s="147"/>
    </row>
    <row r="8" ht="45.0" customHeight="1">
      <c r="A8" s="475"/>
      <c r="B8" s="147"/>
      <c r="C8" s="475"/>
      <c r="D8" s="147"/>
      <c r="E8" s="475"/>
      <c r="F8" s="147"/>
      <c r="G8" s="475"/>
      <c r="H8" s="147"/>
      <c r="I8" s="476"/>
      <c r="J8" s="147"/>
    </row>
    <row r="9" ht="45.0" customHeight="1">
      <c r="A9" s="475"/>
      <c r="B9" s="147"/>
      <c r="C9" s="475"/>
      <c r="D9" s="147"/>
      <c r="E9" s="475"/>
      <c r="F9" s="147"/>
      <c r="G9" s="475"/>
      <c r="H9" s="147"/>
      <c r="I9" s="476"/>
      <c r="J9" s="147"/>
    </row>
    <row r="10" ht="45.0" customHeight="1">
      <c r="A10" s="475"/>
      <c r="B10" s="147"/>
      <c r="C10" s="475"/>
      <c r="D10" s="147"/>
      <c r="E10" s="475"/>
      <c r="F10" s="147"/>
      <c r="G10" s="475"/>
      <c r="H10" s="147"/>
      <c r="I10" s="476"/>
      <c r="J10" s="147"/>
    </row>
    <row r="11" ht="45.0" customHeight="1">
      <c r="A11" s="475"/>
      <c r="B11" s="147"/>
      <c r="C11" s="475"/>
      <c r="D11" s="147"/>
      <c r="E11" s="475"/>
      <c r="F11" s="147"/>
      <c r="G11" s="475"/>
      <c r="H11" s="147"/>
      <c r="I11" s="476"/>
      <c r="J11" s="147"/>
    </row>
    <row r="12" ht="45.0" customHeight="1">
      <c r="A12" s="475"/>
      <c r="B12" s="147"/>
      <c r="C12" s="475"/>
      <c r="D12" s="147"/>
      <c r="E12" s="475"/>
      <c r="F12" s="147"/>
      <c r="G12" s="475"/>
      <c r="H12" s="147"/>
      <c r="I12" s="476"/>
      <c r="J12" s="147"/>
    </row>
    <row r="13" ht="45.0" customHeight="1">
      <c r="A13" s="475"/>
      <c r="B13" s="147"/>
      <c r="C13" s="475"/>
      <c r="D13" s="147"/>
      <c r="E13" s="475"/>
      <c r="F13" s="147"/>
      <c r="G13" s="475"/>
      <c r="H13" s="147"/>
      <c r="I13" s="476"/>
      <c r="J13" s="147"/>
    </row>
    <row r="14" ht="45.0" customHeight="1">
      <c r="A14" s="475"/>
      <c r="B14" s="147"/>
      <c r="C14" s="475"/>
      <c r="D14" s="147"/>
      <c r="E14" s="475"/>
      <c r="F14" s="147"/>
      <c r="G14" s="475"/>
      <c r="H14" s="147"/>
      <c r="I14" s="476"/>
      <c r="J14" s="147"/>
    </row>
    <row r="15" ht="45.0" customHeight="1">
      <c r="A15" s="475"/>
      <c r="B15" s="147"/>
      <c r="C15" s="475"/>
      <c r="D15" s="147"/>
      <c r="E15" s="475"/>
      <c r="F15" s="147"/>
      <c r="G15" s="475"/>
      <c r="H15" s="147"/>
      <c r="I15" s="476"/>
      <c r="J15" s="147"/>
    </row>
    <row r="16" ht="45.0" customHeight="1">
      <c r="A16" s="478"/>
      <c r="B16" s="146"/>
      <c r="C16" s="146"/>
      <c r="D16" s="146"/>
      <c r="E16" s="146"/>
      <c r="F16" s="147"/>
      <c r="G16" s="479">
        <f>SUM(G4:H15)</f>
        <v>3915</v>
      </c>
      <c r="H16" s="147"/>
      <c r="I16" s="480"/>
      <c r="J16" s="147"/>
    </row>
  </sheetData>
  <mergeCells count="69">
    <mergeCell ref="G12:H12"/>
    <mergeCell ref="I12:J12"/>
    <mergeCell ref="A10:B10"/>
    <mergeCell ref="A11:B11"/>
    <mergeCell ref="C11:D11"/>
    <mergeCell ref="E11:F11"/>
    <mergeCell ref="G11:H11"/>
    <mergeCell ref="I11:J11"/>
    <mergeCell ref="A12:B12"/>
    <mergeCell ref="E15:F15"/>
    <mergeCell ref="G15:H15"/>
    <mergeCell ref="C15:D15"/>
    <mergeCell ref="A16:F16"/>
    <mergeCell ref="G16:H16"/>
    <mergeCell ref="I16:J16"/>
    <mergeCell ref="A14:B14"/>
    <mergeCell ref="C14:D14"/>
    <mergeCell ref="E14:F14"/>
    <mergeCell ref="G14:H14"/>
    <mergeCell ref="I14:J14"/>
    <mergeCell ref="A15:B15"/>
    <mergeCell ref="I15:J15"/>
    <mergeCell ref="G4:H4"/>
    <mergeCell ref="I4:J4"/>
    <mergeCell ref="G5:H5"/>
    <mergeCell ref="I5:J5"/>
    <mergeCell ref="G6:H6"/>
    <mergeCell ref="I6:J6"/>
    <mergeCell ref="A1:J2"/>
    <mergeCell ref="A3:B3"/>
    <mergeCell ref="C3:D3"/>
    <mergeCell ref="E3:F3"/>
    <mergeCell ref="G3:H3"/>
    <mergeCell ref="I3:J3"/>
    <mergeCell ref="A4:B4"/>
    <mergeCell ref="C4:D4"/>
    <mergeCell ref="E4:F4"/>
    <mergeCell ref="A5:B5"/>
    <mergeCell ref="C5:D5"/>
    <mergeCell ref="E5:F5"/>
    <mergeCell ref="C6:D6"/>
    <mergeCell ref="E6:F6"/>
    <mergeCell ref="G8:H8"/>
    <mergeCell ref="I8:J8"/>
    <mergeCell ref="G9:H9"/>
    <mergeCell ref="I9:J9"/>
    <mergeCell ref="G10:H10"/>
    <mergeCell ref="I10:J10"/>
    <mergeCell ref="A6:B6"/>
    <mergeCell ref="A7:B7"/>
    <mergeCell ref="C7:D7"/>
    <mergeCell ref="E7:F7"/>
    <mergeCell ref="G7:H7"/>
    <mergeCell ref="I7:J7"/>
    <mergeCell ref="A8:B8"/>
    <mergeCell ref="C8:D8"/>
    <mergeCell ref="E8:F8"/>
    <mergeCell ref="A9:B9"/>
    <mergeCell ref="C9:D9"/>
    <mergeCell ref="E9:F9"/>
    <mergeCell ref="C10:D10"/>
    <mergeCell ref="E10:F10"/>
    <mergeCell ref="C12:D12"/>
    <mergeCell ref="E12:F12"/>
    <mergeCell ref="A13:B13"/>
    <mergeCell ref="C13:D13"/>
    <mergeCell ref="E13:F13"/>
    <mergeCell ref="G13:H13"/>
    <mergeCell ref="I13:J1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Yassine Ben Khaled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9EBCAA0AC3704D04B36F791D99A080AF</vt:lpwstr>
  </property>
  <property fmtid="{D5CDD505-2E9C-101B-9397-08002B2CF9AE}" pid="3" name="KSOProductBuildVer">
    <vt:lpwstr>1036-11.2.0.11440</vt:lpwstr>
  </property>
</Properties>
</file>